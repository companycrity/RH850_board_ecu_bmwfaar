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queryTables/queryTable1.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Component\FAAR_WE_Synergy\_Bmw_5441_Eps_Impl_A\doc\"/>
    </mc:Choice>
  </mc:AlternateContent>
  <xr:revisionPtr revIDLastSave="0" documentId="10_ncr:180000_{703969B3-C55B-46B0-BD8F-D830E82C29D9}" xr6:coauthVersionLast="31" xr6:coauthVersionMax="32" xr10:uidLastSave="{00000000-0000-0000-0000-000000000000}"/>
  <bookViews>
    <workbookView xWindow="0" yWindow="0" windowWidth="16200" windowHeight="25410" tabRatio="892" firstSheet="1" activeTab="1" xr2:uid="{00000000-000D-0000-FFFF-FFFF00000000}"/>
  </bookViews>
  <sheets>
    <sheet name="Summary Sheet (Template)" sheetId="29" state="hidden" r:id="rId1"/>
    <sheet name="Summary Sheet" sheetId="714" r:id="rId2"/>
    <sheet name="SWC (Template)" sheetId="347" state="hidden" r:id="rId3"/>
    <sheet name="Data" sheetId="2" state="hidden" r:id="rId4"/>
    <sheet name="CM103A_RamMem_Impl" sheetId="718" r:id="rId5"/>
    <sheet name="ExternalData" sheetId="397" r:id="rId6"/>
    <sheet name="CustomData" sheetId="398" r:id="rId7"/>
    <sheet name="Change Log" sheetId="280" state="hidden" r:id="rId8"/>
    <sheet name="Issue List" sheetId="399" r:id="rId9"/>
    <sheet name="Version History" sheetId="717" r:id="rId10"/>
  </sheets>
  <functionGroups builtInGroupCount="19"/>
  <definedNames>
    <definedName name="Approved">Data!$B$2:$B$4</definedName>
    <definedName name="ASIL">Data!$B$7:$B$13</definedName>
    <definedName name="CBDList" localSheetId="5">ExternalData!$A$1:$A$208</definedName>
    <definedName name="ChangeType" localSheetId="4">Data!#REF!</definedName>
    <definedName name="ChangeType" localSheetId="1">Data!#REF!</definedName>
    <definedName name="ChangeType">Data!#REF!</definedName>
    <definedName name="Checkmark">Data!$B$15:$B$17</definedName>
    <definedName name="ES238B" localSheetId="4">Data!#REF!</definedName>
    <definedName name="ES238B" localSheetId="1">Data!#REF!</definedName>
    <definedName name="ES238B">Data!#REF!</definedName>
    <definedName name="IssueListResolvedList">Data!$B$20:$B$22</definedName>
    <definedName name="Level" localSheetId="4">Data!#REF!</definedName>
    <definedName name="Level" localSheetId="1">Data!#REF!</definedName>
    <definedName name="Level">Data!#REF!</definedName>
    <definedName name="_xlnm.Print_Area" localSheetId="4">CM103A_RamMem_Impl!$C$2:$AA$80</definedName>
    <definedName name="_xlnm.Print_Area" localSheetId="1">'Summary Sheet'!#REF!</definedName>
    <definedName name="_xlnm.Print_Area" localSheetId="0">'Summary Sheet (Template)'!#REF!</definedName>
    <definedName name="_xlnm.Print_Area" localSheetId="2">'SWC (Template)'!$C$2:$AA$80</definedName>
    <definedName name="PrintArea" localSheetId="1">'Summary Sheet'!#REF!</definedName>
    <definedName name="PrintArea" localSheetId="0">'Summary Sheet (Template)'!#REF!</definedName>
    <definedName name="ProjectType" localSheetId="4">Data!#REF!</definedName>
    <definedName name="ProjectType" localSheetId="1">Data!#REF!</definedName>
    <definedName name="ProjectType">Data!#REF!</definedName>
    <definedName name="s">Data!$B$15:$B$17</definedName>
    <definedName name="SF109A" localSheetId="4">#REF!</definedName>
    <definedName name="SF109A" localSheetId="1">#REF!</definedName>
    <definedName name="SF109A">#REF!</definedName>
    <definedName name="SoftwareTeam" localSheetId="4">Data!#REF!</definedName>
    <definedName name="SoftwareTeam" localSheetId="1">Data!#REF!</definedName>
    <definedName name="SoftwareTeam">Data!#REF!</definedName>
    <definedName name="SummarySheetCRID" localSheetId="4">#REF!</definedName>
    <definedName name="SummarySheetCRID" localSheetId="1">#REF!</definedName>
    <definedName name="SummarySheetCRID">#REF!</definedName>
    <definedName name="SummarySheetOwner" localSheetId="4">#REF!</definedName>
    <definedName name="SummarySheetOwner" localSheetId="1">#REF!</definedName>
    <definedName name="SummarySheetOwner">#REF!</definedName>
  </definedNames>
  <calcPr calcId="179017"/>
</workbook>
</file>

<file path=xl/calcChain.xml><?xml version="1.0" encoding="utf-8"?>
<calcChain xmlns="http://schemas.openxmlformats.org/spreadsheetml/2006/main">
  <c r="X1" i="714" l="1"/>
  <c r="Z1" i="714"/>
  <c r="X1" i="29"/>
  <c r="Z1" i="29"/>
  <c r="X1" i="718" l="1"/>
  <c r="X1" i="3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00000000-0006-0000-0000-000002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F6BCF95D-4095-4B5D-BA99-2B3615BB74B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1020E834-3045-4810-8167-3E2B244C91F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0000000-0006-0000-0200-00000300000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4E001492-0708-40D2-8B9F-461E0BB64344}">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EA71AA44-F33B-4DB8-81FE-050FAAA2CCBF}">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72EB7AA3-F2BA-45B9-8E80-C573AE6854E3}">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2743FDFC-86D2-46F6-BBDC-8F3049A3C242}">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B3E02993-3E79-4C87-94BA-0FB9BCFED9ED}">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refreshOnLoad="1" saveData="1">
    <webPr sourceData="1" parsePre="1" consecutive="1" xl2000="1" url="http://sagd2ua3241wd3/ESGBuildSvrDesign/CBDList/CBDList.txt"/>
  </connection>
  <connection id="2" xr16:uid="{00000000-0015-0000-FFFF-FFFF01000000}" keepAlive="1" name="Query - Version History" description="Connection to the 'Version History' query in the workbook." type="5" refreshedVersion="6" background="1">
    <dbPr connection="Provider=Microsoft.Mashup.OleDb.1;Data Source=$Workbook$;Location=Version History;Extended Properties=&quot;&quot;" command="SELECT * FROM [Version History]"/>
  </connection>
</connections>
</file>

<file path=xl/sharedStrings.xml><?xml version="1.0" encoding="utf-8"?>
<sst xmlns="http://schemas.openxmlformats.org/spreadsheetml/2006/main" count="688" uniqueCount="520">
  <si>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</si>
  <si>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</si>
  <si>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</si>
  <si>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</si>
  <si>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</si>
  <si>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</si>
  <si>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</si>
  <si>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</si>
  <si>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</si>
  <si>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</si>
  <si>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</si>
  <si>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</si>
  <si>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</si>
  <si>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</si>
  <si>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</si>
  <si>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</si>
  <si>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</si>
  <si>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</si>
  <si>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</si>
  <si>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</si>
  <si>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</si>
  <si>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</si>
  <si>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</si>
  <si>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</si>
  <si>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</si>
  <si>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</si>
  <si>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</si>
  <si>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</si>
  <si>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</si>
  <si>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</si>
  <si>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</si>
  <si>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</si>
  <si>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Yes </t>
  </si>
  <si>
    <t>Integration Steps</t>
  </si>
  <si>
    <t>If available, run the integrate batch file in the tools folder</t>
  </si>
  <si>
    <t xml:space="preserve">OS: If required, the changes made in the OS files are </t>
  </si>
  <si>
    <t>Per the integration guidelines for the SWC, all additional</t>
  </si>
  <si>
    <t xml:space="preserve">Imported Std_Workspace that meets or exceeds the </t>
  </si>
  <si>
    <t xml:space="preserve">RTE Generated an all file changes were compared and </t>
  </si>
  <si>
    <t>changes were in line with the changes made by the SWC</t>
  </si>
  <si>
    <t>CBD_ActivePull/SF13_001</t>
  </si>
  <si>
    <t>CBD_ArbLmt_Ford/CF04</t>
  </si>
  <si>
    <t>CBD_Assist/SF01_008.0</t>
  </si>
  <si>
    <t>CBD_AstSumLmt/SF04_002.0</t>
  </si>
  <si>
    <t>CBD_AstSumnLmt_CM/FDD04B</t>
  </si>
  <si>
    <t>CBD_AvgFricLrn/SF07</t>
  </si>
  <si>
    <t>CBD_BlkBoxANCInterface/SF-41A_001</t>
  </si>
  <si>
    <t>CBD_BMW/CMS</t>
  </si>
  <si>
    <t>CBD_BrCurrCmd/SF99C</t>
  </si>
  <si>
    <t>CBD_BrPICntrl/SF99C</t>
  </si>
  <si>
    <t>CBD_BVDiag/SER</t>
  </si>
  <si>
    <t>CBD_CmMtrCurr/FDD01C_001_MC</t>
  </si>
  <si>
    <t>CBD_CoilRes_MTO/HS02</t>
  </si>
  <si>
    <t>CBD_Common/CMS</t>
  </si>
  <si>
    <t>CBD_CompErr/SF41</t>
  </si>
  <si>
    <t>CBD_CtrlTemp/SF06_002.0</t>
  </si>
  <si>
    <t>CBD_CustPL_BMW/CF06</t>
  </si>
  <si>
    <t>CBD_Damping_MTO/SF06</t>
  </si>
  <si>
    <t>CBD_Damping/SF03_003.0</t>
  </si>
  <si>
    <t>CBD_DampingFirewall/SF35</t>
  </si>
  <si>
    <t>CBD_DiagMgr/FDD37B_001.0</t>
  </si>
  <si>
    <t>CBD_DigColPs/ES20D</t>
  </si>
  <si>
    <t>CBD_DigMSB/ES50A</t>
  </si>
  <si>
    <t>CBD_DrvDynCtrl/SF33</t>
  </si>
  <si>
    <t>CBD_ElePwr_CM/SF08B</t>
  </si>
  <si>
    <t>CBD_Enable_MTO/SF04</t>
  </si>
  <si>
    <t>CBD_EOTActuatorMng/SF18_001A.0</t>
  </si>
  <si>
    <t>CBD_ePWM/FDD34B</t>
  </si>
  <si>
    <t>CBD_EstDrvTrq_MTO/SF18</t>
  </si>
  <si>
    <t>CBD_EstFluidTemp_MTO/SF11</t>
  </si>
  <si>
    <t>CBD_EstLatAccel_MTO/SF10</t>
  </si>
  <si>
    <t>CBD_FltInjection/DF_01</t>
  </si>
  <si>
    <t>CBD_FrqDepDmpnInrtCmp/SF14_002.0</t>
  </si>
  <si>
    <t>CBD_HaLFTO_LWR/CF08C</t>
  </si>
  <si>
    <t>CBD_HiLoadStall/SF17_001</t>
  </si>
  <si>
    <t>CBD_HwTrq/FDD04_008.0</t>
  </si>
  <si>
    <t>CBD_HysComp_MTO/SF07</t>
  </si>
  <si>
    <t>CBD_HystComp/SF12_001.0</t>
  </si>
  <si>
    <t>CBD_I2cNxtr/01.00.00</t>
  </si>
  <si>
    <t>CBD_LAsst/CF01</t>
  </si>
  <si>
    <t>CBD_LatBsdVarEff_MTO/trunk</t>
  </si>
  <si>
    <t>CBD_LktoLkStr/SF24_001</t>
  </si>
  <si>
    <t>CBD_LmtCod/SF38</t>
  </si>
  <si>
    <t>CBD_LrnEOT/SF11_001.0</t>
  </si>
  <si>
    <t>CBD_ModelLib/1.0</t>
  </si>
  <si>
    <t>CBD_MtrCtrl_CM/SF99B</t>
  </si>
  <si>
    <t>CBD_MtrCtrl_VM/SF99</t>
  </si>
  <si>
    <t>CBD_MtrTempEst/SF06_002.0</t>
  </si>
  <si>
    <t>CBD_MtrVel/FDD02B</t>
  </si>
  <si>
    <t>CBD_Nhet/FDD34B_003_NHET</t>
  </si>
  <si>
    <t>CBD_NvM/FDD22</t>
  </si>
  <si>
    <t>CBD_NvMProxy/FDD22_001</t>
  </si>
  <si>
    <t>CBD_NxtrLib/1.0</t>
  </si>
  <si>
    <t>CBD_OvrVoltMon/FDD16</t>
  </si>
  <si>
    <t>CBD_PAwTO_LWR/CF08A</t>
  </si>
  <si>
    <t>CBD_PkAsEn_Ford/ES40A</t>
  </si>
  <si>
    <t>CBD_PresSignlCond_MTO/SF01</t>
  </si>
  <si>
    <t>CBD_PullComp_MTO/SF17</t>
  </si>
  <si>
    <t>CBD_PwrLmtFuncCr/SF19B_CM</t>
  </si>
  <si>
    <t>CBD_Return/SF02_002.0</t>
  </si>
  <si>
    <t>CBD_ReturnFirewall/SF36</t>
  </si>
  <si>
    <t>CBD_SgnlCond/SF33</t>
  </si>
  <si>
    <t>CBD_StbCTO_LWR/CF08B</t>
  </si>
  <si>
    <t>CBD_StdDef/01.00.00</t>
  </si>
  <si>
    <t>CBD_StOpCtrl/SF05_002</t>
  </si>
  <si>
    <t>CBD_SVDrvr_CM/FDD15D</t>
  </si>
  <si>
    <t>CBD_TBAsst_Ford/CF03</t>
  </si>
  <si>
    <t>CBD_ThrmDutyCycle/SF09</t>
  </si>
  <si>
    <t>CBD_TmprlMon_Br/FDD19C</t>
  </si>
  <si>
    <t>CBD_TmprlMon/FDD19B</t>
  </si>
  <si>
    <t>CBD_TMS570_Startup/FDD32B</t>
  </si>
  <si>
    <t>CBD_TMS570_uDiag/FDD32B</t>
  </si>
  <si>
    <t>CBD_TqRsDg/SF31</t>
  </si>
  <si>
    <t>CBD_TrqArblim/CF10</t>
  </si>
  <si>
    <t>CBD_TrqOVlSta/CF09</t>
  </si>
  <si>
    <t>CBD_TrqOvlyPrsAlgo_MTO/trunk</t>
  </si>
  <si>
    <t>CBD_TrqOvlyTrqAlgo_MTO/trunk</t>
  </si>
  <si>
    <t>CBD_TuningSelAuth/SF23</t>
  </si>
  <si>
    <t>CBD_TurnsCounter/FDD20C_003</t>
  </si>
  <si>
    <t>CBD_VehDyn/SF42</t>
  </si>
  <si>
    <t>CBD_VehSpdLmt/SF16_001.0</t>
  </si>
  <si>
    <t>CBD_WhlImbRej/SF15_002</t>
  </si>
  <si>
    <t>Developer Changes (Group Review)</t>
  </si>
  <si>
    <t>Configurator Changes (Group Review)</t>
  </si>
  <si>
    <t>Calibration Changes (Group Review)</t>
  </si>
  <si>
    <t>Import the SWC that is required to integrate into</t>
  </si>
  <si>
    <t>Developer</t>
  </si>
  <si>
    <t>All runnables of the SWC mapped to the correct</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</si>
  <si>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</si>
  <si>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</si>
  <si>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</si>
  <si>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</si>
  <si>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</si>
  <si>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</si>
  <si>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</si>
  <si>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</si>
  <si>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</si>
  <si>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</si>
  <si>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</si>
  <si>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</si>
  <si>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</si>
  <si>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</si>
  <si>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</si>
  <si>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</si>
  <si>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</si>
  <si>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</si>
  <si>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</si>
  <si>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</si>
  <si>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</si>
  <si>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</si>
  <si>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</si>
  <si>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&lt; Function will populate &gt;</t>
  </si>
  <si>
    <t>CalComponent.arxml regenerated and imported into</t>
  </si>
  <si>
    <t>TuningSets.arxml generated and imported into</t>
  </si>
  <si>
    <t>ADC0 diagnostic consistantly setting</t>
  </si>
  <si>
    <t>Jared</t>
  </si>
  <si>
    <t>Lucas</t>
  </si>
  <si>
    <t>Turned out to be a disconnected signal in MotCtrlMgr - corrected during review.</t>
  </si>
  <si>
    <t>AR100A_NxtrMath_Impl</t>
  </si>
  <si>
    <t>AR101A_NxtrIntrpn_Impl</t>
  </si>
  <si>
    <t>AR102A_NxtrTi_Impl</t>
  </si>
  <si>
    <t>AR103A_NxtrFixdPt_Impl</t>
  </si>
  <si>
    <t>AR104A_NxtrFil_Impl</t>
  </si>
  <si>
    <t>AR200A_ArSuprt_Impl</t>
  </si>
  <si>
    <t>AR201A_ArCplrSuprt_Impl</t>
  </si>
  <si>
    <t>AR202A_MicroCtrlrSuprt_Impl</t>
  </si>
  <si>
    <t>AR300A_MotCtrlMgr_Impl</t>
  </si>
  <si>
    <t>AR350A_ImcArbn_Impl</t>
  </si>
  <si>
    <t>AR998A_NxtrDet_Impl</t>
  </si>
  <si>
    <t>AR999A_ArchGlbPrm_Impl</t>
  </si>
  <si>
    <t>BswM</t>
  </si>
  <si>
    <t>Can</t>
  </si>
  <si>
    <t>CF009B_GmAutnmsCmdStMac_Impl</t>
  </si>
  <si>
    <t>CF010B_GmTqOvrlCdng_Impl</t>
  </si>
  <si>
    <t>CF016A_GMVehSpdArbn_Impl</t>
  </si>
  <si>
    <t>CF017A_GMVehPwrMod_Impl</t>
  </si>
  <si>
    <t>CF030A_GmHwAgCmdArbn_Impl</t>
  </si>
  <si>
    <t>CM010C_GmG2kcaMcuCfg_Design</t>
  </si>
  <si>
    <t>CM100A_StrtUpSeq_Design</t>
  </si>
  <si>
    <t>CM101A_ExcpnHndlg_Impl</t>
  </si>
  <si>
    <t>CM102A_FlsMem_Impl</t>
  </si>
  <si>
    <t>CM103A_RamMem_Impl</t>
  </si>
  <si>
    <t>CM104A_EcmOutpAndDiagc_Impl</t>
  </si>
  <si>
    <t>CM106A_McuCoreCfgAndDiagc_Impl</t>
  </si>
  <si>
    <t>CM107A_GuardCfgAndDiagc_Impl</t>
  </si>
  <si>
    <t>CM108A_DataAndAdrPar_Impl</t>
  </si>
  <si>
    <t>CM109A_ClkCfgAndMon_Impl</t>
  </si>
  <si>
    <t>CM111A_VrfyCritReg_Impl</t>
  </si>
  <si>
    <t>CM112A_CoreVltgMonr_Impl</t>
  </si>
  <si>
    <t>CM200C_DmaCfgAndUse_Impl</t>
  </si>
  <si>
    <t>CM300A_Adc0CfgAndUse_Impl</t>
  </si>
  <si>
    <t>CM320A_Adc1CfgAndUse_Impl</t>
  </si>
  <si>
    <t>CM340A_AdcDiagc_Impl</t>
  </si>
  <si>
    <t>CM410B_SnsrMeasStrt_Impl</t>
  </si>
  <si>
    <t>CM455A_Tauj0CfgAndUse_Impl</t>
  </si>
  <si>
    <t>CM475A_TSG31CfgAndUse_Impl</t>
  </si>
  <si>
    <t>CM510A_MotAg3Meas_Impl</t>
  </si>
  <si>
    <t>CM515A_MotAg4Meas_Impl</t>
  </si>
  <si>
    <t>CM600A_CSIG0CfgAndUse_Design</t>
  </si>
  <si>
    <t>CM610A_CSIH0CfgAndUse_Design</t>
  </si>
  <si>
    <t>CM620C_MotAg0Meas_Impl</t>
  </si>
  <si>
    <t>CM630A_CSIH2CfgAndUse_Design</t>
  </si>
  <si>
    <t>CM640C_MotAg1Meas_Impl</t>
  </si>
  <si>
    <t>CM650A_HwTq0Meas_Impl</t>
  </si>
  <si>
    <t>CM660A_HwTq1Meas_Impl</t>
  </si>
  <si>
    <t>CM670A_HwAg1Meas_Impl</t>
  </si>
  <si>
    <t>CM690A_HwAg0Meas_Impl</t>
  </si>
  <si>
    <t>CM745A_Sci30CfgAndUse_Impl</t>
  </si>
  <si>
    <t>CM800A_SyncCrc_Impl</t>
  </si>
  <si>
    <t>Crc</t>
  </si>
  <si>
    <t>Dem</t>
  </si>
  <si>
    <t>Det</t>
  </si>
  <si>
    <t>DF001A_FltInj_Impl</t>
  </si>
  <si>
    <t>DF002A_Swp_Impl</t>
  </si>
  <si>
    <t>DF003A_McuErrInj_Impl</t>
  </si>
  <si>
    <t>Diag</t>
  </si>
  <si>
    <t>Dio</t>
  </si>
  <si>
    <t>EcuC</t>
  </si>
  <si>
    <t>EcuM</t>
  </si>
  <si>
    <t>ES002A_McuDiagc_Impl</t>
  </si>
  <si>
    <t>ES003A_PwrDiscnct_Impl</t>
  </si>
  <si>
    <t>ES004A_PwrUpSeq_Impl</t>
  </si>
  <si>
    <t>ES005C_TmplMonr_Impl</t>
  </si>
  <si>
    <t>ES006A_NvM_Impl</t>
  </si>
  <si>
    <t>ES008A_PwrSply_Impl</t>
  </si>
  <si>
    <t>ES011A_DualEcuIdn_Impl</t>
  </si>
  <si>
    <t>ES100A_SysStMod_Impl</t>
  </si>
  <si>
    <t>ES101A_DiagcMgr_Impl</t>
  </si>
  <si>
    <t>ES102A_PolarityCfg_Impl</t>
  </si>
  <si>
    <t>ES104A_XcpIf_Impl</t>
  </si>
  <si>
    <t>ES105A_StHlthSigNormn_Impl</t>
  </si>
  <si>
    <t>ES106A_StHlthSigStc_Impl</t>
  </si>
  <si>
    <t>ES108A_ShtdwnMech_Impl</t>
  </si>
  <si>
    <t>ES200A_CurrMeas_Impl</t>
  </si>
  <si>
    <t>ES208A_CurrMeasArbn_Impl</t>
  </si>
  <si>
    <t>ES209A_CurrMeasCorrln_Impl</t>
  </si>
  <si>
    <t>ES210A_EcuTMeas_Impl</t>
  </si>
  <si>
    <t>ES228B_HwTqArbn_Impl</t>
  </si>
  <si>
    <t>ES229B_HwTqCorrln_Impl</t>
  </si>
  <si>
    <t>ES238B_HwAgArbn_Impl</t>
  </si>
  <si>
    <t>ES239B_HwAgCorrln_Impl</t>
  </si>
  <si>
    <t>ES247A_MotAgCmp_Impl</t>
  </si>
  <si>
    <t>ES248B_MotAgArbn_Impl</t>
  </si>
  <si>
    <t>ES249B_MotAgCorrln_Impl</t>
  </si>
  <si>
    <t>ES250B_BattVltg_Impl</t>
  </si>
  <si>
    <t>ES259B_BattVltgCorrln_Impl</t>
  </si>
  <si>
    <t>ES300A_SinVltgGenn_Impl</t>
  </si>
  <si>
    <t>ES311A_GateDrv0Ctrl_Impl</t>
  </si>
  <si>
    <t>ES400A_TunSelnMngt_Impl</t>
  </si>
  <si>
    <t>ES999A_ElecGlbPrm_Impl</t>
  </si>
  <si>
    <t>Fee</t>
  </si>
  <si>
    <t>Fls</t>
  </si>
  <si>
    <t>GM_000A_GMLAN3.1MchRH850_Impl</t>
  </si>
  <si>
    <t>GM_001A_ChkPt_Impl</t>
  </si>
  <si>
    <t>GM_002A_PartNr_Impl</t>
  </si>
  <si>
    <t>GM_003B_CustDiagc_Impl</t>
  </si>
  <si>
    <t>Il</t>
  </si>
  <si>
    <t>IoHwAb</t>
  </si>
  <si>
    <t>Mcu</t>
  </si>
  <si>
    <t>MemIf</t>
  </si>
  <si>
    <t>MM000B_SerlComInpProxy_Impl</t>
  </si>
  <si>
    <t>MM002A_GmMsg0C9BusHiSpd_Impl</t>
  </si>
  <si>
    <t>MM006A_GmMsg1E9BusHiSpd_Impl</t>
  </si>
  <si>
    <t>MM007A_GmMsg1F1BusHiSpd_Impl</t>
  </si>
  <si>
    <t>MM011B_GmMsg348BusHiSpd_Impl</t>
  </si>
  <si>
    <t>MM012B_GmMsg34ABusHiSpd_Impl</t>
  </si>
  <si>
    <t>MM013A_GmMsg3E9BusHiSpd_Impl</t>
  </si>
  <si>
    <t>MM014A_GmMsg3F1BusHiSpd_Impl</t>
  </si>
  <si>
    <t>MM020B_GmMsg348BusChassisExp_Impl</t>
  </si>
  <si>
    <t>MM021B_GmMsg34ABusChassisExp_Impl</t>
  </si>
  <si>
    <t>MM022A_GmMsg4D1BusHiSpd_Impl</t>
  </si>
  <si>
    <t>MM024A_GmMsg112BusHiSpd_Impl</t>
  </si>
  <si>
    <t>MM025A_GmMsg110BusChassisExp_Impl</t>
  </si>
  <si>
    <t>MM500B_SerlComOutpProxy_Impl</t>
  </si>
  <si>
    <t>MM501A_GmMsg148BusHiSpd_Impl</t>
  </si>
  <si>
    <t>MM502A_GmMsg184BusHiSpd_Impl</t>
  </si>
  <si>
    <t>MM503A_GmMsg1E5BusHiSpd_Impl</t>
  </si>
  <si>
    <t>MM504A_GmMsg778BusHiSpd_Impl</t>
  </si>
  <si>
    <t>MM505A_GmMsg1CABusChassisExp_Impl</t>
  </si>
  <si>
    <t>MM506A_GmMsg1E5BusChassisExp_Impl</t>
  </si>
  <si>
    <t>MM507A_GmMsg335BusChassisExp_Impl</t>
  </si>
  <si>
    <t>MM509A_GmMsg155BusHiSpd_Impl</t>
  </si>
  <si>
    <t>Nm</t>
  </si>
  <si>
    <t>NM001A_CmnMfgSrv_Impl</t>
  </si>
  <si>
    <t>NM002A_CmnMfgSrvIf_Impl</t>
  </si>
  <si>
    <t>NM003A_NxtrSwIds_Impl</t>
  </si>
  <si>
    <t>NM004A_NxtrCalIds_Impl</t>
  </si>
  <si>
    <t>NM010A_ProgMfgSrv_Impl</t>
  </si>
  <si>
    <t>NM100A_MotVelCtrl_Impl</t>
  </si>
  <si>
    <t>NvM</t>
  </si>
  <si>
    <t>Os</t>
  </si>
  <si>
    <t>Port</t>
  </si>
  <si>
    <t>RenesasMcalSuprt</t>
  </si>
  <si>
    <t>Rte</t>
  </si>
  <si>
    <t>SF001A_Assi_Impl</t>
  </si>
  <si>
    <t>SF002A_Rtn_Impl</t>
  </si>
  <si>
    <t>SF003A_Dampg_Impl</t>
  </si>
  <si>
    <t>SF004B_AssiSumLim_Impl</t>
  </si>
  <si>
    <t>SF005A_StOutpCtrl_Impl</t>
  </si>
  <si>
    <t>SF006A_TEstimn_Impl</t>
  </si>
  <si>
    <t>SF007A_SysFricLrng_Impl</t>
  </si>
  <si>
    <t>SF009A_DutyCycThermProtn_Impl</t>
  </si>
  <si>
    <t>SF011A_EotLrng_Impl</t>
  </si>
  <si>
    <t>SF012A_HysCmp_Impl</t>
  </si>
  <si>
    <t>SF014A_InertiaCmpVel_Impl</t>
  </si>
  <si>
    <t>SF016A_VehSpdLimr_Impl</t>
  </si>
  <si>
    <t>SF017A_HiLoadStallLimr_Impl</t>
  </si>
  <si>
    <t>SF018A_EotProtn_Impl</t>
  </si>
  <si>
    <t>SF019B_PwrLimr_Impl</t>
  </si>
  <si>
    <t>SF020B_PosnTrakgServo_Impl</t>
  </si>
  <si>
    <t>SF023A_TunSelnAuthy_Impl</t>
  </si>
  <si>
    <t>SF027A_EotProtnFwl_Impl</t>
  </si>
  <si>
    <t>SF028A_AssiHiFrq_Impl</t>
  </si>
  <si>
    <t>SF029A_StabyCmp_Impl</t>
  </si>
  <si>
    <t>SF031A_CurrReasbnDiagc_Impl</t>
  </si>
  <si>
    <t>SF032A_MotTqCmdSca_Impl</t>
  </si>
  <si>
    <t>SF033A_VehSigCdng_Impl</t>
  </si>
  <si>
    <t>SF034A_AssiPahFwl_Impl</t>
  </si>
  <si>
    <t>SF035A_DampgPahFwl_Impl</t>
  </si>
  <si>
    <t>SF036A_RtnPahFwl_Impl</t>
  </si>
  <si>
    <t>SF038A_LimrCdng_Impl</t>
  </si>
  <si>
    <t>SF040A_MotVel_Impl</t>
  </si>
  <si>
    <t>SF041A_CmplncErr_Impl</t>
  </si>
  <si>
    <t>SF042A_HwAgSnsrls_Impl</t>
  </si>
  <si>
    <t>SF043A_TqOscn_Impl</t>
  </si>
  <si>
    <t>SF045A_HwAgSysArbn_Impl</t>
  </si>
  <si>
    <t>SF048A_TqLoa_Impl</t>
  </si>
  <si>
    <t>SF049A_LoaMgr_Impl</t>
  </si>
  <si>
    <t>SF050A_MotTqTranlDampg_Impl</t>
  </si>
  <si>
    <t>SF053A_HwAgVehCentrTrim_Impl</t>
  </si>
  <si>
    <t>SF054A_PwrpkCmpbltyChk_Impl</t>
  </si>
  <si>
    <t>SF056A_DrvrTqEstimn_Impl</t>
  </si>
  <si>
    <t>SF059A_SysPrfmncSts_Impl</t>
  </si>
  <si>
    <t>SF061A_SteerMod_Impl</t>
  </si>
  <si>
    <t>SF062A_DualCtrlrOutpMgr_Impl</t>
  </si>
  <si>
    <t>SF063A_ImcSigArbn_Impl</t>
  </si>
  <si>
    <t>SF101A_MotQuadDetn_Impl</t>
  </si>
  <si>
    <t>SF102A_MotCtrlPrmEstimn_Impl</t>
  </si>
  <si>
    <t>SF103A_MotRefMdl_Impl</t>
  </si>
  <si>
    <t>SF104A_MotCurrRegCfg_Impl</t>
  </si>
  <si>
    <t>SF105A_MotCurrRegVltgLimr_Impl</t>
  </si>
  <si>
    <t>SF108A_MotCurrPeakEstimn_Impl</t>
  </si>
  <si>
    <t>SF109A_ElecPwrCns_Impl</t>
  </si>
  <si>
    <t>SF999A_SysGlbPrm_Impl</t>
  </si>
  <si>
    <t>Spi</t>
  </si>
  <si>
    <t>TL100A_QACSuprt</t>
  </si>
  <si>
    <t>TL102A_Davinci</t>
  </si>
  <si>
    <t>TL104A_GENyFramework</t>
  </si>
  <si>
    <t>TL105A_Artt</t>
  </si>
  <si>
    <t>TL106A_HexView</t>
  </si>
  <si>
    <t>TL107A_DavinciSuprt</t>
  </si>
  <si>
    <t>TL108A_PolyspaceSuprt</t>
  </si>
  <si>
    <t>TL111A_CmnChksTool</t>
  </si>
  <si>
    <t>TL112A_Python</t>
  </si>
  <si>
    <t>TL113A_MfgSrvSuprt</t>
  </si>
  <si>
    <t>TL122A_RteCnctnReview</t>
  </si>
  <si>
    <t>Tp</t>
  </si>
  <si>
    <t>VectorBswSuprt</t>
  </si>
  <si>
    <t>Wdg</t>
  </si>
  <si>
    <t>WdgIf</t>
  </si>
  <si>
    <t>WdgM</t>
  </si>
  <si>
    <t>Xcp</t>
  </si>
  <si>
    <t>CBD_AbsHwPos_TcI2cVd/FDD05G</t>
  </si>
  <si>
    <t>CBD_AbsHwpos_TCpScomm/FDD05E</t>
  </si>
  <si>
    <t>CBD_AbsHwPosI2CInit/ES05J</t>
  </si>
  <si>
    <t>CBD_AbsHwPosScomOvlDi/FDD05H</t>
  </si>
  <si>
    <t>CBD_Adc/ES33G</t>
  </si>
  <si>
    <t>CBD_AdcCfgAndUseFamily38/ES033H</t>
  </si>
  <si>
    <t>CBD_AdcCfgAndUseFamily39/ES033J</t>
  </si>
  <si>
    <t>CBD_AnaMSBArbn/ES54A</t>
  </si>
  <si>
    <t>CBD_AnaMSBCorrln/ES55A</t>
  </si>
  <si>
    <t>CBD_AnaMSBSnsrIf/ES53A</t>
  </si>
  <si>
    <t>CBD_AstPathSum/SF34B</t>
  </si>
  <si>
    <t>CBD_BattVltg/ES08C</t>
  </si>
  <si>
    <t>CBD_BattVltgCorrln/ES59A</t>
  </si>
  <si>
    <t>CBD_BMW/CMS_F39</t>
  </si>
  <si>
    <t>CBD_BmwFctDiMgr/CF035A</t>
  </si>
  <si>
    <t>CBD_BmwHaptcFb/CF020A</t>
  </si>
  <si>
    <t>CBD_BmwRtnArbn/CF019A</t>
  </si>
  <si>
    <t>CBD_BmwTqOvrlCdng/CF40</t>
  </si>
  <si>
    <t>CBD_CAOSM/CF22</t>
  </si>
  <si>
    <t>CBD_CATA/CF23</t>
  </si>
  <si>
    <t>CBD_CmMtrCurr3Phs/ES01F</t>
  </si>
  <si>
    <t>CBD_CoggPhaShift/DF004A</t>
  </si>
  <si>
    <t>CBD_CtrldVelRtn/SF002B</t>
  </si>
  <si>
    <t>CBD_CustRqrdDampg/SF057A</t>
  </si>
  <si>
    <t>CBD_DampgPathSum/SF35B</t>
  </si>
  <si>
    <t>CBD_DflzOvrlStMgr/CF32</t>
  </si>
  <si>
    <t>CBD_DflzTqArbn/CF33</t>
  </si>
  <si>
    <t>CBD_DigMSBArbn/ES54B</t>
  </si>
  <si>
    <t>CBD_Dma_AnaMotPsn/FDD52B</t>
  </si>
  <si>
    <t>CBD_Dma/FDD52</t>
  </si>
  <si>
    <t>CBD_DrvrTqEstimn/SF056A</t>
  </si>
  <si>
    <t>CBD_DualCtrlrOutpMgr/SF062A</t>
  </si>
  <si>
    <t>CBD_DualMotPosnArbn/ES054D</t>
  </si>
  <si>
    <t>CBD_DualMotPosnCorrln/ES055C</t>
  </si>
  <si>
    <t>CBD_DualSpurDigHwAg/ES020E</t>
  </si>
  <si>
    <t>CBD_EcuCrossChk/SF064A</t>
  </si>
  <si>
    <t>CBD_EcuIdn/FDDES70A</t>
  </si>
  <si>
    <t>CBD_ePWM_Up/ES34E</t>
  </si>
  <si>
    <t>CBD_ePWM_Updown/ES34D</t>
  </si>
  <si>
    <t>CBD_FcaOvrlStHdlr/CF08D</t>
  </si>
  <si>
    <t>CBD_FcaTqArbn/CF005B</t>
  </si>
  <si>
    <t>CBD_FordArbLmt/CF04B</t>
  </si>
  <si>
    <t>CBD_FordFctCtrl/CF031A</t>
  </si>
  <si>
    <t>CBD_FordTqLoaWarn/CF021A</t>
  </si>
  <si>
    <t>CBD_FordTSC/CF029A</t>
  </si>
  <si>
    <t>CBD_FrqDepDmpnInrtCmp/SF14_005.1_Branch</t>
  </si>
  <si>
    <t>CBD_GmAtnmsCmdStMac/CF09B</t>
  </si>
  <si>
    <t>CBD_GmFctDiArbn/CF025A</t>
  </si>
  <si>
    <t>CBD_GmHwAgCmdArbn/CF030A</t>
  </si>
  <si>
    <t>CBD_GmPwrpkSrvDataRcvry_CF034B/CF034B</t>
  </si>
  <si>
    <t>CBD_GmPwrpkSrvDataRcvry/CF034A</t>
  </si>
  <si>
    <t>CBD_GMSrlComOutput_01A/SCIR</t>
  </si>
  <si>
    <t>CBD_GMStrtStop/CF12A</t>
  </si>
  <si>
    <t>CBD_GmTqOvrlCndg/CF010B</t>
  </si>
  <si>
    <t>CBD_HaitecOvrlStMgr/CF041A</t>
  </si>
  <si>
    <t>CBD_HaitecTqArbn/CF042A</t>
  </si>
  <si>
    <t>CBD_HaitecTrqCmd/CF15A</t>
  </si>
  <si>
    <t>CBD_HOWDetect/SF44</t>
  </si>
  <si>
    <t>CBD_HwPwrUpSeq/13C</t>
  </si>
  <si>
    <t>CBD_HwTq/FDD004F</t>
  </si>
  <si>
    <t>CBD_HwTqArbn_2TqADAS/ES056C</t>
  </si>
  <si>
    <t>CBD_HwTqArbn/ES56B</t>
  </si>
  <si>
    <t>CBD_HwTqCorrln_2TqADAS/ES057C</t>
  </si>
  <si>
    <t>CBD_HwTqCorrln/ES57B</t>
  </si>
  <si>
    <t>CBD_HwTqMeasSent/ES35A</t>
  </si>
  <si>
    <t>CBD_HwTrq/FDD04E</t>
  </si>
  <si>
    <t>CBD_HwTrqArbn/ES56A</t>
  </si>
  <si>
    <t>CBD_HwTrqCorrln/ES57A</t>
  </si>
  <si>
    <t>CBD_IGCenter_MTO/HS37</t>
  </si>
  <si>
    <t>CBD_IGCFricLrn_MTO/HS38</t>
  </si>
  <si>
    <t>CBD_ImcArbr_GMCorona/ES073A</t>
  </si>
  <si>
    <t>CBD_ImcArbr/ES073A</t>
  </si>
  <si>
    <t>CBD_ImcArbr/ES073B</t>
  </si>
  <si>
    <t>CBD_ImcSigArbn/SF063A</t>
  </si>
  <si>
    <t>CBD_LoaMgr/SF49A</t>
  </si>
  <si>
    <t>CBD_MotAgCorrln/ES55B</t>
  </si>
  <si>
    <t>CBD_MotMeclPosn1/ES60A</t>
  </si>
  <si>
    <t>CBD_MotMeclPosn2/ES61A</t>
  </si>
  <si>
    <t>CBD_MotPosn1Meas/ES060B</t>
  </si>
  <si>
    <t>CBD_MotPosn2Meas/ES061B</t>
  </si>
  <si>
    <t>CBD_MotPosnCmp/ES62A</t>
  </si>
  <si>
    <t>CBD_MotVelCtrl/NM100A</t>
  </si>
  <si>
    <t>CBD_MtrPos3SinCos/ES58A</t>
  </si>
  <si>
    <t>CBD_Nhet1CfgAndUse_35D/FDD35D</t>
  </si>
  <si>
    <t>CBD_Nhet1CfgAndUse_AnaMotPsn/FDD35C</t>
  </si>
  <si>
    <t>CBD_Nhet1CfgAndUse/ES35B</t>
  </si>
  <si>
    <t>CBD_NHET_BrSENT/ES34C</t>
  </si>
  <si>
    <t>CBD_NvM_Fbl/FDD22B</t>
  </si>
  <si>
    <t>CBD_PhaseAbcFdbkMeas/ES36B</t>
  </si>
  <si>
    <t>CBD_PosnTrakgServo/SF020B</t>
  </si>
  <si>
    <t>CBD_PsaAgArbn/CF039A</t>
  </si>
  <si>
    <t>CBD_PSADMQ/CF024A</t>
  </si>
  <si>
    <t>CBD_PSASH/CF013B</t>
  </si>
  <si>
    <t>CBD_PSAStHdlr/CF13</t>
  </si>
  <si>
    <t>CBD_PSATA/CF14</t>
  </si>
  <si>
    <t>CBD_PwrDiscnctCfgA/ES011D</t>
  </si>
  <si>
    <t>CBD_PwrDiscnctCfgC/ES011E</t>
  </si>
  <si>
    <t>CBD_PwrDscntDuInv/ES11C</t>
  </si>
  <si>
    <t>CBD_Sci/FDDES71A</t>
  </si>
  <si>
    <t>CBD_SnsrOffsCorrn/SF052A</t>
  </si>
  <si>
    <t>CBD_SnsrOffsLrng/SF51A</t>
  </si>
  <si>
    <t>CBD_SpdDptLatCtrl/CF028A</t>
  </si>
  <si>
    <t>CBD_SteerMod/SF061A</t>
  </si>
  <si>
    <t>CBD_SVDiag_DualInv/ES49B</t>
  </si>
  <si>
    <t>CBD_SysOutpCpby/SF58</t>
  </si>
  <si>
    <t>CBD_SysOutpPrsntCpby/SF058B</t>
  </si>
  <si>
    <t>CBD_SysPrfmncSts/SF59</t>
  </si>
  <si>
    <t>CBD_TmplMonrDualIvtr/ES19D</t>
  </si>
  <si>
    <t>CBD_TMS570_Startup_v23BootloaderOnlyPLLPatch/FDD32B</t>
  </si>
  <si>
    <t>CBD_TMS570_Startup/FDD32B_EA38740</t>
  </si>
  <si>
    <t>CBD_TMS570_uDiag/FDD32B_NoDMA</t>
  </si>
  <si>
    <t>CBD_TMS570_uDiagTestCode/1.0</t>
  </si>
  <si>
    <t>CBD_TranlDampg/SF50A</t>
  </si>
  <si>
    <t>CBD_TrqLOA/SF48A</t>
  </si>
  <si>
    <t>CBD_TrqOsc/SF43_01</t>
  </si>
  <si>
    <t>CBD_TurnsCntrEnhdSpiDiag/ES020F</t>
  </si>
  <si>
    <t>CBD_UflexStMac/CF037A</t>
  </si>
  <si>
    <t>CBD_UflexTqArbn/CF036A</t>
  </si>
  <si>
    <t>CBD_VehYawRate_MTO/HS35</t>
  </si>
  <si>
    <t>CBD_WhlImbRej_MTO/HS36</t>
  </si>
  <si>
    <t>MM067A_GmMsg3F0BusHiSpd_Impl</t>
  </si>
  <si>
    <t>CBD_TJADamp/CF11</t>
  </si>
  <si>
    <t>Ea/FEE:</t>
  </si>
  <si>
    <t>NvM: If required, NvM blocks are configured to meet</t>
  </si>
  <si>
    <t>If applicable, Ea/FEE configured with the</t>
  </si>
  <si>
    <t xml:space="preserve">new SWC NvM blocks. CRC's and other checks are </t>
  </si>
  <si>
    <t xml:space="preserve">application, task, and order within the task as defined </t>
  </si>
  <si>
    <t>SWC Client/Server and Sender/Receiver ports mapped</t>
  </si>
  <si>
    <t>Calibration ports linked properly in Developer</t>
  </si>
  <si>
    <t>Developer project</t>
  </si>
  <si>
    <t>the required component version to be integrated</t>
  </si>
  <si>
    <t>of the SWC</t>
  </si>
  <si>
    <t>reviewed</t>
  </si>
  <si>
    <t>the requirements of the SWC and program</t>
  </si>
  <si>
    <t>applied as required</t>
  </si>
  <si>
    <t>considerations required have been performed and reviewed</t>
  </si>
  <si>
    <t>version used for the SWC</t>
  </si>
  <si>
    <t>in the Application architecture</t>
  </si>
  <si>
    <t xml:space="preserve"> to required ports as per Application architecture</t>
  </si>
  <si>
    <t>Review any changed service component connections</t>
  </si>
  <si>
    <t>Configurator project</t>
  </si>
  <si>
    <t>1.00</t>
  </si>
  <si>
    <t>Template Version History</t>
  </si>
  <si>
    <t>Author(s)</t>
  </si>
  <si>
    <t>Revision Date</t>
  </si>
  <si>
    <t>Approved By</t>
  </si>
  <si>
    <t>Approved Date</t>
  </si>
  <si>
    <t>Status</t>
  </si>
  <si>
    <t>Initial version</t>
  </si>
  <si>
    <t>Mrudula P.</t>
  </si>
  <si>
    <t>PCWG</t>
  </si>
  <si>
    <t>Released</t>
  </si>
  <si>
    <t>Akilan Rathakrishnan</t>
  </si>
  <si>
    <t>EA4#26240</t>
  </si>
  <si>
    <t>SWC Integration Review for CM103A_RamMem_Impl</t>
  </si>
  <si>
    <t>CM103A_RamMem_Impl_4.4.0</t>
  </si>
  <si>
    <t>Pratik Jadhav</t>
  </si>
  <si>
    <t>Following two exceptions are added  in the OS: ResdOperIrq, AlgnErrIrq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</si>
</sst>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
      <b/>
      <sz val="7"/>
      <color indexed="81"/>
      <name val="Tahoma"/>
      <family val="2"/>
    </font>
    <font>
      <sz val="10"/>
      <color theme="1"/>
      <name val="Arial"/>
      <family val="2"/>
    </font>
    <font>
      <sz val="14"/>
      <color theme="1"/>
      <name val="Arial"/>
      <family val="2"/>
    </font>
    <font>
      <b/>
      <sz val="10"/>
      <color theme="1"/>
      <name val="Arial"/>
      <family val="2"/>
    </font>
  </fonts>
  <fills count="8">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0" fillId="0" borderId="0" xfId="0" applyFill="1" applyBorder="1" applyAlignment="1">
      <alignment horizontal="center"/>
    </xf>
    <xf numFmtId="0" fontId="4" fillId="0" borderId="0" xfId="0" applyFont="1" applyFill="1" applyBorder="1" applyAlignment="1">
      <alignment horizontal="center"/>
    </xf>
    <xf numFmtId="0" fontId="4" fillId="0" borderId="0" xfId="0" applyFont="1" applyFill="1" applyBorder="1" applyAlignment="1">
      <alignment horizontal="left" vertical="top"/>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164" fontId="4" fillId="0" borderId="1" xfId="0" applyNumberFormat="1" applyFont="1" applyBorder="1" applyAlignment="1">
      <alignment horizontal="center"/>
    </xf>
    <xf numFmtId="0" fontId="10" fillId="0" borderId="0" xfId="0" applyFont="1" applyFill="1" applyBorder="1" applyAlignment="1">
      <alignment horizontal="center"/>
    </xf>
    <xf numFmtId="0" fontId="4" fillId="0" borderId="0" xfId="0" applyFont="1" applyFill="1" applyAlignment="1"/>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4" borderId="14" xfId="0" applyFont="1" applyFill="1" applyBorder="1"/>
    <xf numFmtId="0" fontId="17" fillId="0" borderId="0" xfId="0" applyFont="1" applyAlignment="1">
      <alignment vertical="center"/>
    </xf>
    <xf numFmtId="0" fontId="19" fillId="7" borderId="18" xfId="0" applyFont="1" applyFill="1" applyBorder="1" applyAlignment="1">
      <alignment horizontal="center" vertical="center" wrapText="1"/>
    </xf>
    <xf numFmtId="0" fontId="19" fillId="7" borderId="19" xfId="0" applyFont="1" applyFill="1" applyBorder="1" applyAlignment="1">
      <alignment horizontal="left" vertical="center" wrapText="1"/>
    </xf>
    <xf numFmtId="0" fontId="19" fillId="7" borderId="19" xfId="0" applyFont="1" applyFill="1" applyBorder="1" applyAlignment="1">
      <alignment horizontal="center" vertical="center" wrapText="1"/>
    </xf>
    <xf numFmtId="0" fontId="19" fillId="7" borderId="20" xfId="0" applyFont="1" applyFill="1" applyBorder="1" applyAlignment="1">
      <alignment horizontal="center" vertical="center" wrapText="1"/>
    </xf>
    <xf numFmtId="0" fontId="17" fillId="0" borderId="22" xfId="0" applyFont="1" applyBorder="1" applyAlignment="1">
      <alignment horizontal="left" vertical="center" wrapText="1"/>
    </xf>
    <xf numFmtId="0" fontId="17" fillId="0" borderId="22" xfId="0" applyFont="1" applyBorder="1" applyAlignment="1">
      <alignment horizontal="center" vertical="center"/>
    </xf>
    <xf numFmtId="15" fontId="17" fillId="0" borderId="22" xfId="0" applyNumberFormat="1" applyFont="1" applyBorder="1" applyAlignment="1">
      <alignment horizontal="center" vertical="center"/>
    </xf>
    <xf numFmtId="0" fontId="17" fillId="0" borderId="23" xfId="0" applyFont="1" applyBorder="1" applyAlignment="1">
      <alignment vertical="center"/>
    </xf>
    <xf numFmtId="0" fontId="17" fillId="0" borderId="24" xfId="0" applyFont="1" applyBorder="1" applyAlignment="1">
      <alignment horizontal="center" vertical="center"/>
    </xf>
    <xf numFmtId="0" fontId="17" fillId="0" borderId="2" xfId="0" applyFont="1" applyBorder="1" applyAlignment="1">
      <alignment horizontal="left" vertical="center" wrapText="1"/>
    </xf>
    <xf numFmtId="0" fontId="17" fillId="0" borderId="2" xfId="0" applyFont="1" applyBorder="1" applyAlignment="1">
      <alignment horizontal="center" vertical="center"/>
    </xf>
    <xf numFmtId="15" fontId="17" fillId="0" borderId="2" xfId="0" applyNumberFormat="1" applyFont="1" applyBorder="1" applyAlignment="1">
      <alignment horizontal="center" vertical="center"/>
    </xf>
    <xf numFmtId="0" fontId="17" fillId="0" borderId="2" xfId="0" applyFont="1" applyBorder="1" applyAlignment="1">
      <alignment vertical="center"/>
    </xf>
    <xf numFmtId="0" fontId="17" fillId="0" borderId="25" xfId="0" applyFont="1" applyBorder="1" applyAlignment="1">
      <alignment vertical="center"/>
    </xf>
    <xf numFmtId="0" fontId="17" fillId="0" borderId="26" xfId="0" applyFont="1" applyBorder="1" applyAlignment="1">
      <alignment horizontal="center" vertical="center"/>
    </xf>
    <xf numFmtId="0" fontId="17" fillId="0" borderId="27" xfId="0" applyFont="1" applyBorder="1" applyAlignment="1">
      <alignment horizontal="left" vertical="center" wrapText="1"/>
    </xf>
    <xf numFmtId="0" fontId="17" fillId="0" borderId="27" xfId="0" applyFont="1" applyBorder="1" applyAlignment="1">
      <alignment horizontal="center" vertical="center"/>
    </xf>
    <xf numFmtId="0" fontId="17" fillId="0" borderId="27" xfId="0" applyFont="1" applyBorder="1" applyAlignment="1">
      <alignment vertical="center"/>
    </xf>
    <xf numFmtId="0" fontId="17" fillId="0" borderId="28" xfId="0" applyFont="1" applyBorder="1" applyAlignment="1">
      <alignment vertical="center"/>
    </xf>
    <xf numFmtId="2" fontId="17" fillId="0" borderId="21" xfId="0" applyNumberFormat="1" applyFont="1" applyBorder="1" applyAlignment="1">
      <alignment horizontal="center" vertical="center"/>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5" borderId="2" xfId="0" applyFont="1" applyFill="1" applyBorder="1" applyAlignment="1">
      <alignment horizontal="left" vertical="top" wrapText="1"/>
    </xf>
    <xf numFmtId="0" fontId="4" fillId="5"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6" borderId="2" xfId="0" applyFont="1" applyFill="1" applyBorder="1" applyAlignment="1">
      <alignment horizontal="center" vertical="top" wrapText="1"/>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2" borderId="0" xfId="0" applyFont="1" applyFill="1" applyAlignment="1">
      <alignment horizontal="center" vertical="center" textRotation="90"/>
    </xf>
    <xf numFmtId="0" fontId="4" fillId="0" borderId="1" xfId="0" applyFont="1" applyBorder="1" applyAlignment="1">
      <alignment horizontal="left"/>
    </xf>
    <xf numFmtId="0" fontId="0" fillId="0" borderId="1" xfId="0" applyBorder="1" applyAlignment="1">
      <alignment horizontal="left"/>
    </xf>
    <xf numFmtId="0" fontId="4" fillId="0" borderId="7" xfId="0" applyFont="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1" xfId="0" applyFont="1" applyBorder="1" applyAlignment="1">
      <alignment horizontal="left" wrapText="1"/>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cellXfs>
  <cellStyles count="1">
    <cellStyle name="Normal" xfId="0" builtinId="0"/>
  </cellStyles>
  <dxfs count="32">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colors>
    <mruColors>
      <color rgb="FFFF3300"/>
      <color rgb="FF339933"/>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921473" name="Button 1" hidden="1">
              <a:extLst>
                <a:ext uri="{63B3BB69-23CF-44E3-9099-C40C66FF867C}">
                  <a14:compatExt spid="_x0000_s2921473"/>
                </a:ext>
                <a:ext uri="{FF2B5EF4-FFF2-40B4-BE49-F238E27FC236}">
                  <a16:creationId xmlns:a16="http://schemas.microsoft.com/office/drawing/2014/main" id="{00000000-0008-0000-0100-000001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921474" name="Button 2" hidden="1">
              <a:extLst>
                <a:ext uri="{63B3BB69-23CF-44E3-9099-C40C66FF867C}">
                  <a14:compatExt spid="_x0000_s2921474"/>
                </a:ext>
                <a:ext uri="{FF2B5EF4-FFF2-40B4-BE49-F238E27FC236}">
                  <a16:creationId xmlns:a16="http://schemas.microsoft.com/office/drawing/2014/main" id="{00000000-0008-0000-0100-000002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114300</xdr:colOff>
      <xdr:row>1</xdr:row>
      <xdr:rowOff>28576</xdr:rowOff>
    </xdr:from>
    <xdr:to>
      <xdr:col>2</xdr:col>
      <xdr:colOff>853439</xdr:colOff>
      <xdr:row>1</xdr:row>
      <xdr:rowOff>391084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 y="203836"/>
          <a:ext cx="1775459" cy="362508"/>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BDList" refreshOnLoad="1" connectionId="1" xr16:uid="{00000000-0016-0000-05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c r="H4" s="144"/>
      <c r="I4" s="144"/>
      <c r="J4" s="144"/>
      <c r="K4" s="144"/>
      <c r="L4" s="144"/>
      <c r="M4" s="144"/>
      <c r="N4" s="144"/>
      <c r="O4" s="144"/>
      <c r="Q4" s="6" t="s">
        <v>6</v>
      </c>
      <c r="R4" s="6"/>
      <c r="S4" s="6"/>
      <c r="T4" s="6"/>
      <c r="U4" s="145"/>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25"/>
      <c r="E7" s="25"/>
      <c r="F7" s="25"/>
      <c r="G7" s="25"/>
      <c r="H7" s="25"/>
      <c r="I7" s="25"/>
      <c r="J7" s="25"/>
      <c r="K7" s="25"/>
      <c r="L7" s="25"/>
      <c r="M7" s="25"/>
      <c r="N7" s="25"/>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C12:AA12"/>
    <mergeCell ref="X1:Y1"/>
    <mergeCell ref="Z1:AA1"/>
    <mergeCell ref="C2:AA2"/>
    <mergeCell ref="G4:O4"/>
    <mergeCell ref="U4:AA4"/>
    <mergeCell ref="M13:P13"/>
    <mergeCell ref="G14:Z18"/>
    <mergeCell ref="C21:AA21"/>
    <mergeCell ref="C22:AA25"/>
    <mergeCell ref="C27:AA27"/>
    <mergeCell ref="D33:O33"/>
    <mergeCell ref="P33:V33"/>
    <mergeCell ref="W33:AA33"/>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B4EE-C558-4930-9BDF-4DDA3C269281}">
  <sheetPr codeName="Sheet11">
    <pageSetUpPr fitToPage="1"/>
  </sheetPr>
  <dimension ref="C1:AB37"/>
  <sheetViews>
    <sheetView tabSelected="1" workbookViewId="0">
      <selection activeCell="U4" sqref="U4:AA4"/>
    </sheetView>
  </sheetViews>
  <sheetFormatPr defaultRowHeight="12.75" x14ac:dyDescent="0.2"/>
  <cols>
    <col min="3" max="27" width="4.7109375" customWidth="1"/>
  </cols>
  <sheetData>
    <row r="1" spans="3:27" x14ac:dyDescent="0.2">
      <c r="X1" s="140" t="str">
        <f>CONCATENATE("Rev ",getLastRevision(1))</f>
        <v>Rev 1.00</v>
      </c>
      <c r="Y1" s="141"/>
      <c r="Z1" s="142" t="str">
        <f>getLastRevision(2)</f>
        <v>5/30/2018</v>
      </c>
      <c r="AA1" s="142"/>
    </row>
    <row r="2" spans="3:27" ht="24" thickBot="1" x14ac:dyDescent="0.4">
      <c r="C2" s="143" t="s">
        <v>30</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4" t="s">
        <v>20</v>
      </c>
      <c r="D4" s="4"/>
      <c r="E4" s="15"/>
      <c r="F4" s="15"/>
      <c r="G4" s="144" t="s">
        <v>514</v>
      </c>
      <c r="H4" s="144"/>
      <c r="I4" s="144"/>
      <c r="J4" s="144"/>
      <c r="K4" s="144"/>
      <c r="L4" s="144"/>
      <c r="M4" s="144"/>
      <c r="N4" s="144"/>
      <c r="O4" s="144"/>
      <c r="Q4" s="6" t="s">
        <v>6</v>
      </c>
      <c r="R4" s="6"/>
      <c r="S4" s="6"/>
      <c r="T4" s="6"/>
      <c r="U4" s="144" t="s">
        <v>515</v>
      </c>
      <c r="V4" s="145"/>
      <c r="W4" s="145"/>
      <c r="X4" s="145"/>
      <c r="Y4" s="145"/>
      <c r="Z4" s="145"/>
      <c r="AA4" s="145"/>
    </row>
    <row r="6" spans="3:27" x14ac:dyDescent="0.2">
      <c r="C6" s="134" t="s">
        <v>33</v>
      </c>
      <c r="D6" s="135"/>
      <c r="E6" s="135"/>
      <c r="F6" s="135"/>
      <c r="G6" s="135"/>
      <c r="H6" s="135"/>
      <c r="I6" s="135"/>
      <c r="J6" s="135"/>
      <c r="K6" s="135"/>
      <c r="L6" s="135"/>
      <c r="M6" s="135"/>
      <c r="N6" s="135"/>
      <c r="O6" s="135"/>
      <c r="P6" s="135"/>
      <c r="Q6" s="135"/>
      <c r="R6" s="135"/>
      <c r="S6" s="135"/>
      <c r="T6" s="135"/>
      <c r="U6" s="135"/>
      <c r="V6" s="135"/>
      <c r="W6" s="135"/>
      <c r="X6" s="135"/>
      <c r="Y6" s="135"/>
      <c r="Z6" s="135"/>
      <c r="AA6" s="136"/>
    </row>
    <row r="7" spans="3:27" x14ac:dyDescent="0.2">
      <c r="C7" s="24"/>
      <c r="D7" s="63"/>
      <c r="E7" s="63"/>
      <c r="F7" s="63"/>
      <c r="G7" s="63"/>
      <c r="H7" s="63"/>
      <c r="I7" s="63"/>
      <c r="J7" s="63"/>
      <c r="K7" s="63"/>
      <c r="L7" s="63"/>
      <c r="M7" s="63"/>
      <c r="N7" s="63"/>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62"/>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37" t="s">
        <v>9</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9"/>
    </row>
    <row r="13" spans="3:27" x14ac:dyDescent="0.2">
      <c r="C13" s="8"/>
      <c r="J13" s="6"/>
      <c r="K13" s="4"/>
      <c r="L13" s="6"/>
      <c r="M13" s="122"/>
      <c r="N13" s="122"/>
      <c r="O13" s="122"/>
      <c r="P13" s="122"/>
      <c r="R13" s="6"/>
      <c r="S13" s="6"/>
      <c r="T13" s="6"/>
      <c r="U13" s="6"/>
      <c r="AA13" s="9"/>
    </row>
    <row r="14" spans="3:27" x14ac:dyDescent="0.2">
      <c r="C14" s="8"/>
      <c r="D14" s="40" t="s">
        <v>4</v>
      </c>
      <c r="E14" s="6"/>
      <c r="F14" s="6"/>
      <c r="G14" s="123"/>
      <c r="H14" s="124"/>
      <c r="I14" s="124"/>
      <c r="J14" s="124"/>
      <c r="K14" s="124"/>
      <c r="L14" s="124"/>
      <c r="M14" s="124"/>
      <c r="N14" s="124"/>
      <c r="O14" s="124"/>
      <c r="P14" s="124"/>
      <c r="Q14" s="124"/>
      <c r="R14" s="124"/>
      <c r="S14" s="124"/>
      <c r="T14" s="124"/>
      <c r="U14" s="124"/>
      <c r="V14" s="124"/>
      <c r="W14" s="124"/>
      <c r="X14" s="124"/>
      <c r="Y14" s="124"/>
      <c r="Z14" s="125"/>
      <c r="AA14" s="9"/>
    </row>
    <row r="15" spans="3:27" x14ac:dyDescent="0.2">
      <c r="C15" s="8"/>
      <c r="G15" s="126"/>
      <c r="H15" s="127"/>
      <c r="I15" s="127"/>
      <c r="J15" s="127"/>
      <c r="K15" s="127"/>
      <c r="L15" s="127"/>
      <c r="M15" s="127"/>
      <c r="N15" s="127"/>
      <c r="O15" s="127"/>
      <c r="P15" s="127"/>
      <c r="Q15" s="127"/>
      <c r="R15" s="127"/>
      <c r="S15" s="127"/>
      <c r="T15" s="127"/>
      <c r="U15" s="127"/>
      <c r="V15" s="127"/>
      <c r="W15" s="127"/>
      <c r="X15" s="127"/>
      <c r="Y15" s="127"/>
      <c r="Z15" s="128"/>
      <c r="AA15" s="9"/>
    </row>
    <row r="16" spans="3:27" x14ac:dyDescent="0.2">
      <c r="C16" s="8"/>
      <c r="E16" s="6"/>
      <c r="F16" s="6"/>
      <c r="G16" s="126"/>
      <c r="H16" s="127"/>
      <c r="I16" s="127"/>
      <c r="J16" s="127"/>
      <c r="K16" s="127"/>
      <c r="L16" s="127"/>
      <c r="M16" s="127"/>
      <c r="N16" s="127"/>
      <c r="O16" s="127"/>
      <c r="P16" s="127"/>
      <c r="Q16" s="127"/>
      <c r="R16" s="127"/>
      <c r="S16" s="127"/>
      <c r="T16" s="127"/>
      <c r="U16" s="127"/>
      <c r="V16" s="127"/>
      <c r="W16" s="127"/>
      <c r="X16" s="127"/>
      <c r="Y16" s="127"/>
      <c r="Z16" s="128"/>
      <c r="AA16" s="9"/>
    </row>
    <row r="17" spans="3:28" x14ac:dyDescent="0.2">
      <c r="C17" s="8"/>
      <c r="D17" s="40"/>
      <c r="E17" s="6"/>
      <c r="F17" s="6"/>
      <c r="G17" s="126"/>
      <c r="H17" s="127"/>
      <c r="I17" s="127"/>
      <c r="J17" s="127"/>
      <c r="K17" s="127"/>
      <c r="L17" s="127"/>
      <c r="M17" s="127"/>
      <c r="N17" s="127"/>
      <c r="O17" s="127"/>
      <c r="P17" s="127"/>
      <c r="Q17" s="127"/>
      <c r="R17" s="127"/>
      <c r="S17" s="127"/>
      <c r="T17" s="127"/>
      <c r="U17" s="127"/>
      <c r="V17" s="127"/>
      <c r="W17" s="127"/>
      <c r="X17" s="127"/>
      <c r="Y17" s="127"/>
      <c r="Z17" s="128"/>
      <c r="AA17" s="9"/>
    </row>
    <row r="18" spans="3:28" x14ac:dyDescent="0.2">
      <c r="C18" s="8"/>
      <c r="G18" s="129"/>
      <c r="H18" s="130"/>
      <c r="I18" s="130"/>
      <c r="J18" s="130"/>
      <c r="K18" s="130"/>
      <c r="L18" s="130"/>
      <c r="M18" s="130"/>
      <c r="N18" s="130"/>
      <c r="O18" s="130"/>
      <c r="P18" s="130"/>
      <c r="Q18" s="130"/>
      <c r="R18" s="130"/>
      <c r="S18" s="130"/>
      <c r="T18" s="130"/>
      <c r="U18" s="130"/>
      <c r="V18" s="130"/>
      <c r="W18" s="130"/>
      <c r="X18" s="130"/>
      <c r="Y18" s="130"/>
      <c r="Z18" s="131"/>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2" t="s">
        <v>149</v>
      </c>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32"/>
    </row>
    <row r="22" spans="3:28" x14ac:dyDescent="0.2">
      <c r="C22" s="116" t="s">
        <v>150</v>
      </c>
      <c r="D22" s="114"/>
      <c r="E22" s="114"/>
      <c r="F22" s="114"/>
      <c r="G22" s="114"/>
      <c r="H22" s="114"/>
      <c r="I22" s="114"/>
      <c r="J22" s="114"/>
      <c r="K22" s="114"/>
      <c r="L22" s="114"/>
      <c r="M22" s="114"/>
      <c r="N22" s="114"/>
      <c r="O22" s="114"/>
      <c r="P22" s="114"/>
      <c r="Q22" s="114"/>
      <c r="R22" s="114"/>
      <c r="S22" s="114"/>
      <c r="T22" s="114"/>
      <c r="U22" s="114"/>
      <c r="V22" s="114"/>
      <c r="W22" s="114"/>
      <c r="X22" s="114"/>
      <c r="Y22" s="114"/>
      <c r="Z22" s="114"/>
      <c r="AA22" s="114"/>
    </row>
    <row r="23" spans="3:28" x14ac:dyDescent="0.2">
      <c r="C23" s="114"/>
      <c r="D23" s="114"/>
      <c r="E23" s="114"/>
      <c r="F23" s="114"/>
      <c r="G23" s="114"/>
      <c r="H23" s="114"/>
      <c r="I23" s="114"/>
      <c r="J23" s="114"/>
      <c r="K23" s="114"/>
      <c r="L23" s="114"/>
      <c r="M23" s="114"/>
      <c r="N23" s="114"/>
      <c r="O23" s="114"/>
      <c r="P23" s="114"/>
      <c r="Q23" s="114"/>
      <c r="R23" s="114"/>
      <c r="S23" s="114"/>
      <c r="T23" s="114"/>
      <c r="U23" s="114"/>
      <c r="V23" s="114"/>
      <c r="W23" s="114"/>
      <c r="X23" s="114"/>
      <c r="Y23" s="114"/>
      <c r="Z23" s="114"/>
      <c r="AA23" s="114"/>
    </row>
    <row r="24" spans="3:28" x14ac:dyDescent="0.2">
      <c r="C24" s="114"/>
      <c r="D24" s="114"/>
      <c r="E24" s="114"/>
      <c r="F24" s="114"/>
      <c r="G24" s="114"/>
      <c r="H24" s="114"/>
      <c r="I24" s="114"/>
      <c r="J24" s="114"/>
      <c r="K24" s="114"/>
      <c r="L24" s="114"/>
      <c r="M24" s="114"/>
      <c r="N24" s="114"/>
      <c r="O24" s="114"/>
      <c r="P24" s="114"/>
      <c r="Q24" s="114"/>
      <c r="R24" s="114"/>
      <c r="S24" s="114"/>
      <c r="T24" s="114"/>
      <c r="U24" s="114"/>
      <c r="V24" s="114"/>
      <c r="W24" s="114"/>
      <c r="X24" s="114"/>
      <c r="Y24" s="114"/>
      <c r="Z24" s="114"/>
      <c r="AA24" s="114"/>
    </row>
    <row r="25" spans="3:28" x14ac:dyDescent="0.2">
      <c r="C25" s="114"/>
      <c r="D25" s="114"/>
      <c r="E25" s="114"/>
      <c r="F25" s="114"/>
      <c r="G25" s="114"/>
      <c r="H25" s="114"/>
      <c r="I25" s="114"/>
      <c r="J25" s="114"/>
      <c r="K25" s="114"/>
      <c r="L25" s="114"/>
      <c r="M25" s="114"/>
      <c r="N25" s="114"/>
      <c r="O25" s="114"/>
      <c r="P25" s="114"/>
      <c r="Q25" s="114"/>
      <c r="R25" s="114"/>
      <c r="S25" s="114"/>
      <c r="T25" s="114"/>
      <c r="U25" s="114"/>
      <c r="V25" s="114"/>
      <c r="W25" s="114"/>
      <c r="X25" s="114"/>
      <c r="Y25" s="114"/>
      <c r="Z25" s="114"/>
      <c r="AA25" s="114"/>
    </row>
    <row r="27" spans="3:28" x14ac:dyDescent="0.2">
      <c r="C27" s="133" t="s">
        <v>147</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3"/>
    </row>
    <row r="28" spans="3:28" x14ac:dyDescent="0.2">
      <c r="C28" s="116" t="s">
        <v>148</v>
      </c>
      <c r="D28" s="114"/>
      <c r="E28" s="114"/>
      <c r="F28" s="114"/>
      <c r="G28" s="114"/>
      <c r="H28" s="114"/>
      <c r="I28" s="114"/>
      <c r="J28" s="114"/>
      <c r="K28" s="114"/>
      <c r="L28" s="114"/>
      <c r="M28" s="114"/>
      <c r="N28" s="114"/>
      <c r="O28" s="114"/>
      <c r="P28" s="114"/>
      <c r="Q28" s="114"/>
      <c r="R28" s="114"/>
      <c r="S28" s="114"/>
      <c r="T28" s="114"/>
      <c r="U28" s="114"/>
      <c r="V28" s="114"/>
      <c r="W28" s="114"/>
      <c r="X28" s="114"/>
      <c r="Y28" s="114"/>
      <c r="Z28" s="114"/>
      <c r="AA28" s="114"/>
    </row>
    <row r="29" spans="3:28" x14ac:dyDescent="0.2">
      <c r="C29" s="114"/>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14"/>
    </row>
    <row r="31" spans="3:28" x14ac:dyDescent="0.2">
      <c r="C31" s="117" t="s">
        <v>139</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8" x14ac:dyDescent="0.2">
      <c r="C32" s="50"/>
      <c r="D32" s="118" t="s">
        <v>143</v>
      </c>
      <c r="E32" s="118"/>
      <c r="F32" s="118"/>
      <c r="G32" s="118"/>
      <c r="H32" s="118"/>
      <c r="I32" s="118"/>
      <c r="J32" s="118"/>
      <c r="K32" s="118"/>
      <c r="L32" s="118"/>
      <c r="M32" s="118"/>
      <c r="N32" s="118"/>
      <c r="O32" s="118"/>
      <c r="P32" s="119" t="s">
        <v>144</v>
      </c>
      <c r="Q32" s="120"/>
      <c r="R32" s="120"/>
      <c r="S32" s="120"/>
      <c r="T32" s="120"/>
      <c r="U32" s="120"/>
      <c r="V32" s="121"/>
      <c r="W32" s="119" t="s">
        <v>145</v>
      </c>
      <c r="X32" s="120"/>
      <c r="Y32" s="120"/>
      <c r="Z32" s="120"/>
      <c r="AA32" s="121"/>
      <c r="AB32" s="45"/>
    </row>
    <row r="33" spans="3:28" x14ac:dyDescent="0.2">
      <c r="C33" s="54" t="s">
        <v>140</v>
      </c>
      <c r="D33" s="114" t="s">
        <v>141</v>
      </c>
      <c r="E33" s="114"/>
      <c r="F33" s="114"/>
      <c r="G33" s="114"/>
      <c r="H33" s="114"/>
      <c r="I33" s="114"/>
      <c r="J33" s="114"/>
      <c r="K33" s="114"/>
      <c r="L33" s="114"/>
      <c r="M33" s="114"/>
      <c r="N33" s="114"/>
      <c r="O33" s="114"/>
      <c r="P33" s="115" t="s">
        <v>142</v>
      </c>
      <c r="Q33" s="115"/>
      <c r="R33" s="115"/>
      <c r="S33" s="115"/>
      <c r="T33" s="115"/>
      <c r="U33" s="115"/>
      <c r="V33" s="115"/>
      <c r="W33" s="115" t="s">
        <v>146</v>
      </c>
      <c r="X33" s="115"/>
      <c r="Y33" s="115"/>
      <c r="Z33" s="115"/>
      <c r="AA33" s="115"/>
      <c r="AB33" s="40"/>
    </row>
    <row r="34" spans="3:28" x14ac:dyDescent="0.2">
      <c r="AB34" s="40"/>
    </row>
    <row r="35" spans="3:28" x14ac:dyDescent="0.2">
      <c r="AB35" s="40"/>
    </row>
    <row r="36" spans="3:28" x14ac:dyDescent="0.2">
      <c r="AB36" s="40"/>
    </row>
    <row r="37" spans="3:28" x14ac:dyDescent="0.2">
      <c r="AB37" s="40"/>
    </row>
  </sheetData>
  <dataConsolidate/>
  <mergeCells count="20">
    <mergeCell ref="C6:AA6"/>
    <mergeCell ref="X1:Y1"/>
    <mergeCell ref="Z1:AA1"/>
    <mergeCell ref="C2:AA2"/>
    <mergeCell ref="G4:O4"/>
    <mergeCell ref="U4:AA4"/>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21473"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921474"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pageSetUpPr fitToPage="1"/>
  </sheetPr>
  <dimension ref="C1:AB87"/>
  <sheetViews>
    <sheetView topLeftCell="B58" workbookViewId="0">
      <selection activeCell="U82" sqref="U82"/>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151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3"/>
      <c r="H4" s="153"/>
      <c r="I4" s="153"/>
      <c r="J4" s="153"/>
      <c r="K4" s="153"/>
      <c r="L4" s="153"/>
      <c r="M4" s="153"/>
      <c r="N4" s="153"/>
      <c r="O4" s="153"/>
      <c r="P4" s="21"/>
      <c r="Q4" s="4" t="s">
        <v>19</v>
      </c>
      <c r="R4" s="21"/>
      <c r="S4" s="21"/>
      <c r="T4" s="21"/>
      <c r="U4" s="153"/>
      <c r="V4" s="153"/>
      <c r="W4" s="153"/>
      <c r="X4" s="153"/>
      <c r="Y4" s="153"/>
      <c r="Z4" s="153"/>
      <c r="AA4" s="153"/>
    </row>
    <row r="5" spans="3:28" x14ac:dyDescent="0.2">
      <c r="C5" s="4"/>
      <c r="D5" s="4"/>
      <c r="E5" s="4"/>
      <c r="F5" s="44"/>
      <c r="G5" s="44"/>
      <c r="H5" s="44"/>
      <c r="J5" s="4"/>
      <c r="K5" s="6"/>
      <c r="L5" s="6"/>
      <c r="M5" s="6"/>
      <c r="N5" s="6"/>
      <c r="O5" s="6"/>
      <c r="P5" s="6"/>
      <c r="Q5" s="6"/>
      <c r="R5" s="6"/>
      <c r="S5" s="6"/>
      <c r="T5" s="6"/>
      <c r="V5" s="4"/>
      <c r="W5" s="6"/>
      <c r="X5" s="6"/>
      <c r="Y5" s="6"/>
      <c r="Z5" s="6"/>
      <c r="AA5" s="6"/>
    </row>
    <row r="6" spans="3:28" ht="13.5" thickBot="1" x14ac:dyDescent="0.25">
      <c r="C6" s="6" t="s">
        <v>6</v>
      </c>
      <c r="D6" s="6"/>
      <c r="E6" s="6"/>
      <c r="F6" s="6"/>
      <c r="G6" s="154"/>
      <c r="H6" s="154"/>
      <c r="I6" s="154"/>
      <c r="J6" s="154"/>
      <c r="K6" s="154"/>
      <c r="L6" s="154"/>
      <c r="M6" s="154"/>
    </row>
    <row r="7" spans="3:28" x14ac:dyDescent="0.2">
      <c r="C7" s="4"/>
      <c r="D7" s="4"/>
      <c r="E7" s="15"/>
      <c r="F7" s="15"/>
      <c r="G7" s="4"/>
      <c r="H7" s="37"/>
      <c r="I7" s="37"/>
      <c r="J7" s="37"/>
      <c r="K7" s="37"/>
      <c r="L7" s="37"/>
      <c r="M7" s="37"/>
      <c r="N7" s="37"/>
      <c r="O7" s="37"/>
      <c r="Q7" s="6"/>
      <c r="R7" s="6"/>
      <c r="S7" s="6"/>
      <c r="T7" s="6"/>
      <c r="U7" s="44"/>
      <c r="V7" s="44"/>
      <c r="W7" s="44"/>
      <c r="X7" s="44"/>
      <c r="Y7" s="44"/>
      <c r="Z7" s="44"/>
      <c r="AA7" s="44"/>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2" t="s">
        <v>123</v>
      </c>
      <c r="D10" s="18" t="s">
        <v>31</v>
      </c>
      <c r="E10" s="18"/>
      <c r="F10" s="19"/>
      <c r="G10" s="18"/>
      <c r="H10" s="18"/>
      <c r="I10" s="20"/>
      <c r="J10" s="20"/>
      <c r="K10" s="20"/>
      <c r="L10" s="18"/>
      <c r="M10" s="18"/>
      <c r="N10" s="36"/>
      <c r="O10" s="36"/>
      <c r="P10" s="18"/>
      <c r="Q10" s="17" t="s">
        <v>4</v>
      </c>
      <c r="R10" s="22"/>
      <c r="S10" s="42"/>
      <c r="T10" s="42"/>
      <c r="U10" s="42"/>
      <c r="V10" s="42"/>
      <c r="W10" s="42"/>
      <c r="X10" s="42"/>
      <c r="Y10" s="42"/>
      <c r="Z10" s="42"/>
      <c r="AA10" s="4"/>
      <c r="AB10" s="3"/>
    </row>
    <row r="11" spans="3:28" ht="15.75" x14ac:dyDescent="0.25">
      <c r="C11" s="152"/>
      <c r="D11" s="18" t="s">
        <v>492</v>
      </c>
      <c r="E11" s="18"/>
      <c r="F11" s="19"/>
      <c r="G11" s="18"/>
      <c r="H11" s="18"/>
      <c r="I11" s="20"/>
      <c r="J11" s="20"/>
      <c r="K11" s="20"/>
      <c r="L11" s="18"/>
      <c r="M11" s="18"/>
      <c r="N11" s="18"/>
      <c r="O11" s="18"/>
      <c r="P11" s="18"/>
      <c r="Q11" s="146"/>
      <c r="R11" s="147"/>
      <c r="S11" s="147"/>
      <c r="T11" s="147"/>
      <c r="U11" s="147"/>
      <c r="V11" s="147"/>
      <c r="W11" s="147"/>
      <c r="X11" s="147"/>
      <c r="Y11" s="147"/>
      <c r="Z11" s="148"/>
      <c r="AA11" s="4"/>
      <c r="AB11" s="3"/>
    </row>
    <row r="12" spans="3:28" ht="15.75" x14ac:dyDescent="0.25">
      <c r="C12" s="152"/>
      <c r="D12" s="43"/>
      <c r="E12" s="18"/>
      <c r="F12" s="19"/>
      <c r="G12" s="18"/>
      <c r="H12" s="18"/>
      <c r="I12" s="20"/>
      <c r="J12" s="20"/>
      <c r="K12" s="20"/>
      <c r="L12" s="18"/>
      <c r="M12" s="18"/>
      <c r="N12" s="18"/>
      <c r="O12" s="18"/>
      <c r="P12" s="18"/>
      <c r="Q12" s="149"/>
      <c r="R12" s="150"/>
      <c r="S12" s="150"/>
      <c r="T12" s="150"/>
      <c r="U12" s="150"/>
      <c r="V12" s="150"/>
      <c r="W12" s="150"/>
      <c r="X12" s="150"/>
      <c r="Y12" s="150"/>
      <c r="Z12" s="151"/>
      <c r="AA12" s="4"/>
      <c r="AB12" s="3"/>
    </row>
    <row r="13" spans="3:28" ht="15.75" x14ac:dyDescent="0.25">
      <c r="C13" s="152"/>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2"/>
      <c r="D14" s="18" t="s">
        <v>34</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52"/>
      <c r="D15" s="18" t="s">
        <v>493</v>
      </c>
      <c r="E15" s="18"/>
      <c r="F15" s="19"/>
      <c r="G15" s="18"/>
      <c r="H15" s="18"/>
      <c r="I15" s="20"/>
      <c r="J15" s="20"/>
      <c r="K15" s="20"/>
      <c r="L15" s="18"/>
      <c r="M15" s="18"/>
      <c r="N15" s="18"/>
      <c r="O15" s="18"/>
      <c r="P15" s="18"/>
      <c r="Q15" s="146"/>
      <c r="R15" s="147"/>
      <c r="S15" s="147"/>
      <c r="T15" s="147"/>
      <c r="U15" s="147"/>
      <c r="V15" s="147"/>
      <c r="W15" s="147"/>
      <c r="X15" s="147"/>
      <c r="Y15" s="147"/>
      <c r="Z15" s="148"/>
      <c r="AA15" s="4"/>
      <c r="AB15" s="3"/>
    </row>
    <row r="16" spans="3:28" ht="15.75" x14ac:dyDescent="0.25">
      <c r="C16" s="152"/>
      <c r="D16" s="43"/>
      <c r="E16" s="18"/>
      <c r="F16" s="19"/>
      <c r="G16" s="18"/>
      <c r="H16" s="18"/>
      <c r="I16" s="20"/>
      <c r="J16" s="20"/>
      <c r="K16" s="20"/>
      <c r="L16" s="18"/>
      <c r="M16" s="18"/>
      <c r="N16" s="18"/>
      <c r="O16" s="18"/>
      <c r="P16" s="18"/>
      <c r="Q16" s="149"/>
      <c r="R16" s="150"/>
      <c r="S16" s="150"/>
      <c r="T16" s="150"/>
      <c r="U16" s="150"/>
      <c r="V16" s="150"/>
      <c r="W16" s="150"/>
      <c r="X16" s="150"/>
      <c r="Y16" s="150"/>
      <c r="Z16" s="151"/>
      <c r="AA16" s="4"/>
      <c r="AB16" s="3"/>
    </row>
    <row r="17" spans="3:28" ht="15.75" x14ac:dyDescent="0.25">
      <c r="C17" s="152"/>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2"/>
      <c r="D18" s="18" t="s">
        <v>35</v>
      </c>
      <c r="E18" s="18"/>
      <c r="F18" s="19"/>
      <c r="G18" s="18"/>
      <c r="H18" s="18"/>
      <c r="I18" s="20"/>
      <c r="J18" s="20"/>
      <c r="K18" s="20"/>
      <c r="L18" s="18"/>
      <c r="M18" s="18"/>
      <c r="N18" s="36" t="s">
        <v>5</v>
      </c>
      <c r="O18" s="36" t="s">
        <v>5</v>
      </c>
      <c r="P18" s="18"/>
      <c r="Q18" s="17" t="s">
        <v>4</v>
      </c>
      <c r="R18" s="22"/>
      <c r="S18" s="17"/>
      <c r="T18" s="17"/>
      <c r="U18" s="23"/>
      <c r="V18" s="23"/>
      <c r="W18" s="23"/>
      <c r="X18" s="17"/>
      <c r="Y18" s="17"/>
      <c r="Z18" s="17"/>
      <c r="AA18" s="4"/>
      <c r="AB18" s="3"/>
    </row>
    <row r="19" spans="3:28" ht="15.75" x14ac:dyDescent="0.25">
      <c r="C19" s="152"/>
      <c r="D19" s="18" t="s">
        <v>494</v>
      </c>
      <c r="E19" s="18"/>
      <c r="F19" s="19"/>
      <c r="G19" s="18"/>
      <c r="H19" s="18"/>
      <c r="I19" s="20"/>
      <c r="J19" s="20"/>
      <c r="K19" s="20"/>
      <c r="L19" s="18"/>
      <c r="M19" s="18"/>
      <c r="N19" s="17"/>
      <c r="O19" s="17"/>
      <c r="P19" s="18"/>
      <c r="Q19" s="146"/>
      <c r="R19" s="147"/>
      <c r="S19" s="147"/>
      <c r="T19" s="147"/>
      <c r="U19" s="147"/>
      <c r="V19" s="147"/>
      <c r="W19" s="147"/>
      <c r="X19" s="147"/>
      <c r="Y19" s="147"/>
      <c r="Z19" s="148"/>
      <c r="AA19" s="4"/>
      <c r="AB19" s="3"/>
    </row>
    <row r="20" spans="3:28" ht="15.75" x14ac:dyDescent="0.25">
      <c r="C20" s="152"/>
      <c r="D20" s="43"/>
      <c r="E20" s="18"/>
      <c r="F20" s="19"/>
      <c r="G20" s="18"/>
      <c r="H20" s="18"/>
      <c r="I20" s="20"/>
      <c r="J20" s="20"/>
      <c r="K20" s="20"/>
      <c r="L20" s="18"/>
      <c r="M20" s="18"/>
      <c r="N20" s="17"/>
      <c r="O20" s="17"/>
      <c r="P20" s="18"/>
      <c r="Q20" s="149"/>
      <c r="R20" s="150"/>
      <c r="S20" s="150"/>
      <c r="T20" s="150"/>
      <c r="U20" s="150"/>
      <c r="V20" s="150"/>
      <c r="W20" s="150"/>
      <c r="X20" s="150"/>
      <c r="Y20" s="150"/>
      <c r="Z20" s="151"/>
      <c r="AA20" s="4"/>
      <c r="AB20" s="3"/>
    </row>
    <row r="21" spans="3:28" ht="15.75" x14ac:dyDescent="0.25">
      <c r="C21" s="152"/>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2"/>
      <c r="D22" s="18" t="s">
        <v>485</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52"/>
      <c r="D23" s="18" t="s">
        <v>495</v>
      </c>
      <c r="E23" s="18"/>
      <c r="F23" s="19"/>
      <c r="G23" s="18"/>
      <c r="H23" s="18"/>
      <c r="I23" s="20"/>
      <c r="J23" s="20"/>
      <c r="K23" s="20"/>
      <c r="L23" s="18"/>
      <c r="M23" s="18"/>
      <c r="N23" s="17"/>
      <c r="O23" s="17"/>
      <c r="P23" s="18"/>
      <c r="Q23" s="146"/>
      <c r="R23" s="147"/>
      <c r="S23" s="147"/>
      <c r="T23" s="147"/>
      <c r="U23" s="147"/>
      <c r="V23" s="147"/>
      <c r="W23" s="147"/>
      <c r="X23" s="147"/>
      <c r="Y23" s="147"/>
      <c r="Z23" s="148"/>
      <c r="AA23" s="4"/>
      <c r="AB23" s="3"/>
    </row>
    <row r="24" spans="3:28" ht="15.75" x14ac:dyDescent="0.25">
      <c r="C24" s="152"/>
      <c r="D24" s="43"/>
      <c r="E24" s="18"/>
      <c r="F24" s="19"/>
      <c r="G24" s="18"/>
      <c r="H24" s="18"/>
      <c r="I24" s="20"/>
      <c r="J24" s="20"/>
      <c r="K24" s="20"/>
      <c r="L24" s="18"/>
      <c r="M24" s="18"/>
      <c r="N24" s="17"/>
      <c r="O24" s="17"/>
      <c r="P24" s="18"/>
      <c r="Q24" s="149"/>
      <c r="R24" s="150"/>
      <c r="S24" s="150"/>
      <c r="T24" s="150"/>
      <c r="U24" s="150"/>
      <c r="V24" s="150"/>
      <c r="W24" s="150"/>
      <c r="X24" s="150"/>
      <c r="Y24" s="150"/>
      <c r="Z24" s="151"/>
      <c r="AA24" s="4"/>
      <c r="AB24" s="3"/>
    </row>
    <row r="25" spans="3:28" ht="15.75" x14ac:dyDescent="0.25">
      <c r="C25" s="152"/>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2"/>
      <c r="D26" s="78" t="s">
        <v>484</v>
      </c>
      <c r="E26" s="78"/>
      <c r="F26" s="18" t="s">
        <v>486</v>
      </c>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52"/>
      <c r="D27" s="18" t="s">
        <v>487</v>
      </c>
      <c r="E27" s="18"/>
      <c r="F27" s="19"/>
      <c r="G27" s="18"/>
      <c r="H27" s="18"/>
      <c r="I27" s="20"/>
      <c r="J27" s="20"/>
      <c r="K27" s="20"/>
      <c r="L27" s="18"/>
      <c r="M27" s="18"/>
      <c r="N27" s="77"/>
      <c r="O27" s="77"/>
      <c r="P27" s="18"/>
      <c r="Q27" s="146"/>
      <c r="R27" s="147"/>
      <c r="S27" s="147"/>
      <c r="T27" s="147"/>
      <c r="U27" s="147"/>
      <c r="V27" s="147"/>
      <c r="W27" s="147"/>
      <c r="X27" s="147"/>
      <c r="Y27" s="147"/>
      <c r="Z27" s="148"/>
      <c r="AA27" s="4"/>
      <c r="AB27" s="3"/>
    </row>
    <row r="28" spans="3:28" ht="15.75" x14ac:dyDescent="0.25">
      <c r="C28" s="152"/>
      <c r="D28" s="18" t="s">
        <v>496</v>
      </c>
      <c r="E28" s="18"/>
      <c r="F28" s="19"/>
      <c r="G28" s="18"/>
      <c r="H28" s="18"/>
      <c r="I28" s="20"/>
      <c r="J28" s="20"/>
      <c r="K28" s="20"/>
      <c r="L28" s="18"/>
      <c r="M28" s="18"/>
      <c r="N28" s="17"/>
      <c r="O28" s="17"/>
      <c r="P28" s="18"/>
      <c r="Q28" s="149"/>
      <c r="R28" s="150"/>
      <c r="S28" s="150"/>
      <c r="T28" s="150"/>
      <c r="U28" s="150"/>
      <c r="V28" s="150"/>
      <c r="W28" s="150"/>
      <c r="X28" s="150"/>
      <c r="Y28" s="150"/>
      <c r="Z28" s="151"/>
      <c r="AA28" s="4"/>
      <c r="AB28" s="3"/>
    </row>
    <row r="29" spans="3:28" ht="15.75" x14ac:dyDescent="0.25">
      <c r="AA29" s="4"/>
      <c r="AB29" s="3"/>
    </row>
    <row r="30" spans="3:28" ht="15.75" x14ac:dyDescent="0.25">
      <c r="C30" s="152" t="s">
        <v>122</v>
      </c>
      <c r="D30" s="40" t="s">
        <v>125</v>
      </c>
      <c r="E30" s="40"/>
      <c r="G30" s="40"/>
      <c r="H30" s="40"/>
      <c r="I30" s="38"/>
      <c r="J30" s="38"/>
      <c r="K30" s="38"/>
      <c r="L30" s="40"/>
      <c r="M30" s="40"/>
      <c r="N30" s="35" t="s">
        <v>5</v>
      </c>
      <c r="O30" s="35" t="s">
        <v>5</v>
      </c>
      <c r="P30" s="40"/>
      <c r="Q30" s="4" t="s">
        <v>4</v>
      </c>
      <c r="R30" s="6"/>
      <c r="S30" s="4"/>
      <c r="T30" s="155"/>
      <c r="U30" s="155"/>
      <c r="V30" s="155"/>
      <c r="W30" s="155"/>
      <c r="X30" s="155"/>
      <c r="Y30" s="155"/>
      <c r="Z30" s="155"/>
      <c r="AA30" s="4"/>
      <c r="AB30" s="3"/>
    </row>
    <row r="31" spans="3:28" ht="15.75" x14ac:dyDescent="0.25">
      <c r="C31" s="152"/>
      <c r="D31" s="40" t="s">
        <v>126</v>
      </c>
      <c r="E31" s="40"/>
      <c r="G31" s="40"/>
      <c r="H31" s="40"/>
      <c r="I31" s="38"/>
      <c r="J31" s="38"/>
      <c r="K31" s="38"/>
      <c r="L31" s="40"/>
      <c r="M31" s="40"/>
      <c r="N31" s="40"/>
      <c r="O31" s="40"/>
      <c r="P31" s="40"/>
      <c r="Q31" s="146"/>
      <c r="R31" s="147"/>
      <c r="S31" s="147"/>
      <c r="T31" s="147"/>
      <c r="U31" s="147"/>
      <c r="V31" s="147"/>
      <c r="W31" s="147"/>
      <c r="X31" s="147"/>
      <c r="Y31" s="147"/>
      <c r="Z31" s="148"/>
      <c r="AA31" s="4"/>
      <c r="AB31" s="3"/>
    </row>
    <row r="32" spans="3:28" ht="15.75" x14ac:dyDescent="0.25">
      <c r="C32" s="152"/>
      <c r="D32" s="43"/>
      <c r="E32" s="40"/>
      <c r="G32" s="40"/>
      <c r="H32" s="40"/>
      <c r="I32" s="38"/>
      <c r="J32" s="38"/>
      <c r="K32" s="38"/>
      <c r="L32" s="40"/>
      <c r="M32" s="40"/>
      <c r="N32" s="40"/>
      <c r="O32" s="40"/>
      <c r="P32" s="40"/>
      <c r="Q32" s="149"/>
      <c r="R32" s="150"/>
      <c r="S32" s="150"/>
      <c r="T32" s="150"/>
      <c r="U32" s="150"/>
      <c r="V32" s="150"/>
      <c r="W32" s="150"/>
      <c r="X32" s="150"/>
      <c r="Y32" s="150"/>
      <c r="Z32" s="151"/>
      <c r="AA32" s="4"/>
      <c r="AB32" s="3"/>
    </row>
    <row r="33" spans="3:28" ht="15.75" x14ac:dyDescent="0.25">
      <c r="C33" s="152"/>
      <c r="AA33" s="4"/>
      <c r="AB33" s="3"/>
    </row>
    <row r="34" spans="3:28" ht="15.75" x14ac:dyDescent="0.25">
      <c r="C34" s="152"/>
      <c r="D34" s="40" t="s">
        <v>36</v>
      </c>
      <c r="E34" s="40"/>
      <c r="G34" s="40"/>
      <c r="H34" s="40"/>
      <c r="I34" s="38"/>
      <c r="J34" s="38"/>
      <c r="K34" s="38"/>
      <c r="L34" s="40"/>
      <c r="M34" s="40"/>
      <c r="N34" s="35" t="s">
        <v>5</v>
      </c>
      <c r="O34" s="35" t="s">
        <v>5</v>
      </c>
      <c r="P34" s="40"/>
      <c r="Q34" s="4" t="s">
        <v>4</v>
      </c>
      <c r="R34" s="6"/>
      <c r="S34" s="4"/>
      <c r="T34" s="155"/>
      <c r="U34" s="155"/>
      <c r="V34" s="155"/>
      <c r="W34" s="155"/>
      <c r="X34" s="155"/>
      <c r="Y34" s="155"/>
      <c r="Z34" s="155"/>
      <c r="AA34" s="4"/>
      <c r="AB34" s="3"/>
    </row>
    <row r="35" spans="3:28" ht="15.75" x14ac:dyDescent="0.25">
      <c r="C35" s="152"/>
      <c r="D35" s="40" t="s">
        <v>497</v>
      </c>
      <c r="E35" s="40"/>
      <c r="G35" s="40"/>
      <c r="H35" s="40"/>
      <c r="I35" s="38"/>
      <c r="J35" s="38"/>
      <c r="K35" s="38"/>
      <c r="L35" s="40"/>
      <c r="M35" s="40"/>
      <c r="N35" s="4"/>
      <c r="O35" s="4"/>
      <c r="P35" s="40"/>
      <c r="Q35" s="70"/>
      <c r="R35" s="71"/>
      <c r="S35" s="71"/>
      <c r="T35" s="71"/>
      <c r="U35" s="71"/>
      <c r="V35" s="71"/>
      <c r="W35" s="71"/>
      <c r="X35" s="71"/>
      <c r="Y35" s="71"/>
      <c r="Z35" s="72"/>
      <c r="AA35" s="4"/>
      <c r="AB35" s="3"/>
    </row>
    <row r="36" spans="3:28" ht="15.75" x14ac:dyDescent="0.25">
      <c r="C36" s="152"/>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2"/>
      <c r="D37" s="43"/>
      <c r="E37" s="40"/>
      <c r="G37" s="40"/>
      <c r="H37" s="40"/>
      <c r="I37" s="38"/>
      <c r="J37" s="38"/>
      <c r="K37" s="38"/>
      <c r="L37" s="40"/>
      <c r="M37" s="40"/>
      <c r="N37" s="4"/>
      <c r="O37" s="4"/>
      <c r="P37" s="40"/>
      <c r="Q37" s="73"/>
      <c r="R37" s="74"/>
      <c r="S37" s="74"/>
      <c r="T37" s="74"/>
      <c r="U37" s="74"/>
      <c r="V37" s="74"/>
      <c r="W37" s="74"/>
      <c r="X37" s="74"/>
      <c r="Y37" s="74"/>
      <c r="Z37" s="75"/>
      <c r="AA37" s="4"/>
      <c r="AB37" s="3"/>
    </row>
    <row r="38" spans="3:28" ht="15.75" x14ac:dyDescent="0.25">
      <c r="C38" s="152"/>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2"/>
      <c r="D39" s="40" t="s">
        <v>37</v>
      </c>
      <c r="E39" s="40"/>
      <c r="G39" s="40"/>
      <c r="H39" s="40"/>
      <c r="I39" s="38"/>
      <c r="J39" s="38"/>
      <c r="K39" s="38"/>
      <c r="L39" s="40"/>
      <c r="M39" s="40"/>
      <c r="N39" s="35" t="s">
        <v>5</v>
      </c>
      <c r="O39" s="35" t="s">
        <v>5</v>
      </c>
      <c r="P39" s="40"/>
      <c r="Q39" s="4" t="s">
        <v>4</v>
      </c>
      <c r="R39" s="6"/>
      <c r="S39" s="4"/>
      <c r="T39" s="155"/>
      <c r="U39" s="155"/>
      <c r="V39" s="155"/>
      <c r="W39" s="155"/>
      <c r="X39" s="155"/>
      <c r="Y39" s="155"/>
      <c r="Z39" s="155"/>
      <c r="AA39" s="4"/>
      <c r="AB39" s="3"/>
    </row>
    <row r="40" spans="3:28" ht="15.75" x14ac:dyDescent="0.25">
      <c r="C40" s="152"/>
      <c r="D40" s="40" t="s">
        <v>498</v>
      </c>
      <c r="E40" s="40"/>
      <c r="G40" s="40"/>
      <c r="H40" s="40"/>
      <c r="I40" s="38"/>
      <c r="J40" s="38"/>
      <c r="K40" s="38"/>
      <c r="L40" s="40"/>
      <c r="M40" s="40"/>
      <c r="N40" s="4"/>
      <c r="O40" s="4"/>
      <c r="P40" s="40"/>
      <c r="Q40" s="146"/>
      <c r="R40" s="147"/>
      <c r="S40" s="147"/>
      <c r="T40" s="147"/>
      <c r="U40" s="147"/>
      <c r="V40" s="147"/>
      <c r="W40" s="147"/>
      <c r="X40" s="147"/>
      <c r="Y40" s="147"/>
      <c r="Z40" s="148"/>
      <c r="AA40" s="4"/>
      <c r="AB40" s="3"/>
    </row>
    <row r="41" spans="3:28" ht="15.75" x14ac:dyDescent="0.25">
      <c r="C41" s="152"/>
      <c r="D41" s="43"/>
      <c r="E41" s="40"/>
      <c r="G41" s="40"/>
      <c r="H41" s="40"/>
      <c r="I41" s="38"/>
      <c r="J41" s="38"/>
      <c r="K41" s="38"/>
      <c r="L41" s="40"/>
      <c r="M41" s="40"/>
      <c r="N41" s="4"/>
      <c r="O41" s="4"/>
      <c r="P41" s="40"/>
      <c r="Q41" s="149"/>
      <c r="R41" s="150"/>
      <c r="S41" s="150"/>
      <c r="T41" s="150"/>
      <c r="U41" s="150"/>
      <c r="V41" s="150"/>
      <c r="W41" s="150"/>
      <c r="X41" s="150"/>
      <c r="Y41" s="150"/>
      <c r="Z41" s="151"/>
      <c r="AA41" s="4"/>
      <c r="AB41" s="3"/>
    </row>
    <row r="42" spans="3:28" ht="15.75" x14ac:dyDescent="0.25">
      <c r="C42" s="152"/>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2"/>
      <c r="D43" s="40" t="s">
        <v>127</v>
      </c>
      <c r="E43" s="40"/>
      <c r="G43" s="40"/>
      <c r="H43" s="40"/>
      <c r="I43" s="38"/>
      <c r="J43" s="38"/>
      <c r="K43" s="38"/>
      <c r="L43" s="40"/>
      <c r="M43" s="40"/>
      <c r="N43" s="35" t="s">
        <v>5</v>
      </c>
      <c r="O43" s="35" t="s">
        <v>5</v>
      </c>
      <c r="P43" s="40"/>
      <c r="Q43" s="4" t="s">
        <v>4</v>
      </c>
      <c r="R43" s="6"/>
      <c r="S43" s="4"/>
      <c r="T43" s="155"/>
      <c r="U43" s="155"/>
      <c r="V43" s="155"/>
      <c r="W43" s="155"/>
      <c r="X43" s="155"/>
      <c r="Y43" s="155"/>
      <c r="Z43" s="155"/>
      <c r="AA43" s="4"/>
      <c r="AB43" s="3"/>
    </row>
    <row r="44" spans="3:28" ht="15.75" x14ac:dyDescent="0.25">
      <c r="C44" s="152"/>
      <c r="D44" s="40" t="s">
        <v>488</v>
      </c>
      <c r="E44" s="40"/>
      <c r="G44" s="40"/>
      <c r="H44" s="40"/>
      <c r="I44" s="38"/>
      <c r="J44" s="38"/>
      <c r="K44" s="38"/>
      <c r="L44" s="40"/>
      <c r="M44" s="40"/>
      <c r="N44" s="4"/>
      <c r="O44" s="4"/>
      <c r="P44" s="40"/>
      <c r="Q44" s="146"/>
      <c r="R44" s="147"/>
      <c r="S44" s="147"/>
      <c r="T44" s="147"/>
      <c r="U44" s="147"/>
      <c r="V44" s="147"/>
      <c r="W44" s="147"/>
      <c r="X44" s="147"/>
      <c r="Y44" s="147"/>
      <c r="Z44" s="148"/>
      <c r="AA44" s="4"/>
      <c r="AB44" s="3"/>
    </row>
    <row r="45" spans="3:28" ht="15.75" x14ac:dyDescent="0.25">
      <c r="C45" s="152"/>
      <c r="D45" s="40" t="s">
        <v>499</v>
      </c>
      <c r="E45" s="40"/>
      <c r="G45" s="40"/>
      <c r="H45" s="40"/>
      <c r="I45" s="38"/>
      <c r="J45" s="38"/>
      <c r="K45" s="38"/>
      <c r="L45" s="40"/>
      <c r="M45" s="40"/>
      <c r="N45" s="4"/>
      <c r="O45" s="4"/>
      <c r="P45" s="40"/>
      <c r="Q45" s="149"/>
      <c r="R45" s="150"/>
      <c r="S45" s="150"/>
      <c r="T45" s="150"/>
      <c r="U45" s="150"/>
      <c r="V45" s="150"/>
      <c r="W45" s="150"/>
      <c r="X45" s="150"/>
      <c r="Y45" s="150"/>
      <c r="Z45" s="151"/>
      <c r="AA45" s="4"/>
      <c r="AB45" s="3"/>
    </row>
    <row r="46" spans="3:28" ht="15.75" x14ac:dyDescent="0.25">
      <c r="C46" s="152"/>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2"/>
      <c r="D47" s="40" t="s">
        <v>489</v>
      </c>
      <c r="E47" s="40"/>
      <c r="G47" s="40"/>
      <c r="H47" s="40"/>
      <c r="I47" s="38"/>
      <c r="J47" s="38"/>
      <c r="K47" s="38"/>
      <c r="L47" s="40"/>
      <c r="M47" s="40"/>
      <c r="N47" s="35" t="s">
        <v>5</v>
      </c>
      <c r="O47" s="35" t="s">
        <v>5</v>
      </c>
      <c r="P47" s="40"/>
      <c r="Q47" s="4" t="s">
        <v>4</v>
      </c>
      <c r="R47" s="6"/>
      <c r="S47" s="4"/>
      <c r="T47" s="155"/>
      <c r="U47" s="155"/>
      <c r="V47" s="155"/>
      <c r="W47" s="155"/>
      <c r="X47" s="155"/>
      <c r="Y47" s="155"/>
      <c r="Z47" s="155"/>
      <c r="AA47" s="4"/>
      <c r="AB47" s="3"/>
    </row>
    <row r="48" spans="3:28" ht="15.75" x14ac:dyDescent="0.25">
      <c r="C48" s="152"/>
      <c r="D48" s="40" t="s">
        <v>500</v>
      </c>
      <c r="E48" s="40"/>
      <c r="G48" s="40"/>
      <c r="H48" s="40"/>
      <c r="I48" s="38"/>
      <c r="J48" s="38"/>
      <c r="K48" s="38"/>
      <c r="L48" s="40"/>
      <c r="M48" s="40"/>
      <c r="N48" s="4"/>
      <c r="O48" s="4"/>
      <c r="P48" s="40"/>
      <c r="Q48" s="146"/>
      <c r="R48" s="147"/>
      <c r="S48" s="147"/>
      <c r="T48" s="147"/>
      <c r="U48" s="147"/>
      <c r="V48" s="147"/>
      <c r="W48" s="147"/>
      <c r="X48" s="147"/>
      <c r="Y48" s="147"/>
      <c r="Z48" s="148"/>
      <c r="AA48" s="4"/>
      <c r="AB48" s="3"/>
    </row>
    <row r="49" spans="3:28" ht="15.75" x14ac:dyDescent="0.25">
      <c r="C49" s="152"/>
      <c r="D49" s="43"/>
      <c r="E49" s="40"/>
      <c r="G49" s="40"/>
      <c r="H49" s="40"/>
      <c r="I49" s="38"/>
      <c r="J49" s="38"/>
      <c r="K49" s="38"/>
      <c r="L49" s="40"/>
      <c r="M49" s="40"/>
      <c r="N49" s="4"/>
      <c r="O49" s="4"/>
      <c r="P49" s="40"/>
      <c r="Q49" s="149"/>
      <c r="R49" s="150"/>
      <c r="S49" s="150"/>
      <c r="T49" s="150"/>
      <c r="U49" s="150"/>
      <c r="V49" s="150"/>
      <c r="W49" s="150"/>
      <c r="X49" s="150"/>
      <c r="Y49" s="150"/>
      <c r="Z49" s="151"/>
      <c r="AA49" s="4"/>
      <c r="AB49" s="3"/>
    </row>
    <row r="50" spans="3:28" ht="15.75" x14ac:dyDescent="0.25">
      <c r="C50" s="152"/>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2"/>
      <c r="D51" s="40" t="s">
        <v>501</v>
      </c>
      <c r="E51" s="40"/>
      <c r="G51" s="40"/>
      <c r="H51" s="40"/>
      <c r="I51" s="38"/>
      <c r="J51" s="38"/>
      <c r="K51" s="38"/>
      <c r="L51" s="40"/>
      <c r="M51" s="40"/>
      <c r="N51" s="35" t="s">
        <v>5</v>
      </c>
      <c r="O51" s="35" t="s">
        <v>5</v>
      </c>
      <c r="P51" s="40"/>
      <c r="Q51" s="4" t="s">
        <v>4</v>
      </c>
      <c r="R51" s="6"/>
      <c r="S51" s="4"/>
      <c r="T51" s="155"/>
      <c r="U51" s="155"/>
      <c r="V51" s="155"/>
      <c r="W51" s="155"/>
      <c r="X51" s="155"/>
      <c r="Y51" s="155"/>
      <c r="Z51" s="155"/>
      <c r="AA51" s="4"/>
      <c r="AB51" s="3"/>
    </row>
    <row r="52" spans="3:28" ht="15.75" x14ac:dyDescent="0.25">
      <c r="C52" s="152"/>
      <c r="D52" s="40"/>
      <c r="E52" s="40"/>
      <c r="G52" s="40"/>
      <c r="H52" s="40"/>
      <c r="I52" s="38"/>
      <c r="J52" s="38"/>
      <c r="K52" s="38"/>
      <c r="L52" s="40"/>
      <c r="M52" s="40"/>
      <c r="N52" s="4"/>
      <c r="O52" s="4"/>
      <c r="P52" s="40"/>
      <c r="Q52" s="146"/>
      <c r="R52" s="147"/>
      <c r="S52" s="147"/>
      <c r="T52" s="147"/>
      <c r="U52" s="147"/>
      <c r="V52" s="147"/>
      <c r="W52" s="147"/>
      <c r="X52" s="147"/>
      <c r="Y52" s="147"/>
      <c r="Z52" s="148"/>
      <c r="AA52" s="4"/>
      <c r="AB52" s="3"/>
    </row>
    <row r="53" spans="3:28" ht="15.75" x14ac:dyDescent="0.25">
      <c r="C53" s="152"/>
      <c r="D53" s="43"/>
      <c r="E53" s="40"/>
      <c r="G53" s="40"/>
      <c r="H53" s="40"/>
      <c r="I53" s="38"/>
      <c r="J53" s="38"/>
      <c r="K53" s="38"/>
      <c r="L53" s="40"/>
      <c r="M53" s="40"/>
      <c r="N53" s="4"/>
      <c r="O53" s="4"/>
      <c r="P53" s="40"/>
      <c r="Q53" s="149"/>
      <c r="R53" s="150"/>
      <c r="S53" s="150"/>
      <c r="T53" s="150"/>
      <c r="U53" s="150"/>
      <c r="V53" s="150"/>
      <c r="W53" s="150"/>
      <c r="X53" s="150"/>
      <c r="Y53" s="150"/>
      <c r="Z53" s="151"/>
      <c r="AA53" s="4"/>
      <c r="AB53" s="3"/>
    </row>
    <row r="54" spans="3:28" ht="15.75" x14ac:dyDescent="0.25">
      <c r="C54" s="152"/>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2"/>
      <c r="D55" s="40" t="s">
        <v>38</v>
      </c>
      <c r="E55" s="40"/>
      <c r="G55" s="40"/>
      <c r="H55" s="40"/>
      <c r="I55" s="38"/>
      <c r="J55" s="38"/>
      <c r="K55" s="38"/>
      <c r="L55" s="40"/>
      <c r="M55" s="40"/>
      <c r="N55" s="35" t="s">
        <v>5</v>
      </c>
      <c r="O55" s="35" t="s">
        <v>5</v>
      </c>
      <c r="P55" s="40"/>
      <c r="Q55" s="4" t="s">
        <v>4</v>
      </c>
      <c r="R55" s="6"/>
      <c r="S55" s="4"/>
      <c r="T55" s="155"/>
      <c r="U55" s="155"/>
      <c r="V55" s="155"/>
      <c r="W55" s="155"/>
      <c r="X55" s="155"/>
      <c r="Y55" s="155"/>
      <c r="Z55" s="155"/>
      <c r="AA55" s="4"/>
      <c r="AB55" s="3"/>
    </row>
    <row r="56" spans="3:28" ht="15.75" x14ac:dyDescent="0.25">
      <c r="C56" s="152"/>
      <c r="D56" s="40" t="s">
        <v>39</v>
      </c>
      <c r="E56" s="40"/>
      <c r="G56" s="40"/>
      <c r="H56" s="40"/>
      <c r="I56" s="38"/>
      <c r="J56" s="38"/>
      <c r="K56" s="38"/>
      <c r="L56" s="40"/>
      <c r="M56" s="40"/>
      <c r="N56" s="4"/>
      <c r="O56" s="4"/>
      <c r="P56" s="40"/>
      <c r="Q56" s="146"/>
      <c r="R56" s="147"/>
      <c r="S56" s="147"/>
      <c r="T56" s="147"/>
      <c r="U56" s="147"/>
      <c r="V56" s="147"/>
      <c r="W56" s="147"/>
      <c r="X56" s="147"/>
      <c r="Y56" s="147"/>
      <c r="Z56" s="148"/>
      <c r="AA56" s="4"/>
      <c r="AB56" s="3"/>
    </row>
    <row r="57" spans="3:28" ht="15.75" x14ac:dyDescent="0.25">
      <c r="C57" s="152"/>
      <c r="D57" s="43"/>
      <c r="E57" s="40"/>
      <c r="G57" s="40"/>
      <c r="H57" s="40"/>
      <c r="I57" s="38"/>
      <c r="J57" s="38"/>
      <c r="K57" s="38"/>
      <c r="L57" s="40"/>
      <c r="M57" s="40"/>
      <c r="N57" s="4"/>
      <c r="O57" s="4"/>
      <c r="P57" s="40"/>
      <c r="Q57" s="149"/>
      <c r="R57" s="150"/>
      <c r="S57" s="150"/>
      <c r="T57" s="150"/>
      <c r="U57" s="150"/>
      <c r="V57" s="150"/>
      <c r="W57" s="150"/>
      <c r="X57" s="150"/>
      <c r="Y57" s="150"/>
      <c r="Z57" s="151"/>
      <c r="AA57" s="4"/>
      <c r="AB57" s="3"/>
    </row>
    <row r="58" spans="3:28" ht="15.75" x14ac:dyDescent="0.25">
      <c r="C58" s="152"/>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2" t="s">
        <v>124</v>
      </c>
      <c r="D60" s="40" t="s">
        <v>152</v>
      </c>
      <c r="E60" s="40"/>
      <c r="G60" s="40"/>
      <c r="H60" s="40"/>
      <c r="I60" s="38"/>
      <c r="J60" s="38"/>
      <c r="K60" s="38"/>
      <c r="L60" s="40"/>
      <c r="M60" s="40"/>
      <c r="N60" s="36" t="s">
        <v>5</v>
      </c>
      <c r="O60" s="35" t="s">
        <v>5</v>
      </c>
      <c r="P60" s="40"/>
      <c r="Q60" s="4" t="s">
        <v>4</v>
      </c>
      <c r="R60" s="6"/>
      <c r="S60" s="4"/>
      <c r="T60" s="155"/>
      <c r="U60" s="155"/>
      <c r="V60" s="155"/>
      <c r="W60" s="155"/>
      <c r="X60" s="155"/>
      <c r="Y60" s="155"/>
      <c r="Z60" s="155"/>
      <c r="AA60" s="4"/>
      <c r="AB60" s="3"/>
    </row>
    <row r="61" spans="3:28" ht="15.75" x14ac:dyDescent="0.25">
      <c r="C61" s="152"/>
      <c r="D61" s="40" t="s">
        <v>491</v>
      </c>
      <c r="E61" s="40"/>
      <c r="G61" s="40"/>
      <c r="H61" s="40"/>
      <c r="I61" s="38"/>
      <c r="J61" s="38"/>
      <c r="K61" s="38"/>
      <c r="L61" s="40"/>
      <c r="M61" s="40"/>
      <c r="N61" s="40"/>
      <c r="O61" s="40"/>
      <c r="P61" s="40"/>
      <c r="Q61" s="146"/>
      <c r="R61" s="147"/>
      <c r="S61" s="147"/>
      <c r="T61" s="147"/>
      <c r="U61" s="147"/>
      <c r="V61" s="147"/>
      <c r="W61" s="147"/>
      <c r="X61" s="147"/>
      <c r="Y61" s="147"/>
      <c r="Z61" s="148"/>
      <c r="AA61" s="4"/>
      <c r="AB61" s="3"/>
    </row>
    <row r="62" spans="3:28" ht="15.75" x14ac:dyDescent="0.25">
      <c r="C62" s="152"/>
      <c r="D62" s="43"/>
      <c r="E62" s="40"/>
      <c r="G62" s="40"/>
      <c r="H62" s="40"/>
      <c r="I62" s="38"/>
      <c r="J62" s="38"/>
      <c r="K62" s="38"/>
      <c r="L62" s="40"/>
      <c r="M62" s="40"/>
      <c r="N62" s="40"/>
      <c r="O62" s="40"/>
      <c r="P62" s="40"/>
      <c r="Q62" s="149"/>
      <c r="R62" s="150"/>
      <c r="S62" s="150"/>
      <c r="T62" s="150"/>
      <c r="U62" s="150"/>
      <c r="V62" s="150"/>
      <c r="W62" s="150"/>
      <c r="X62" s="150"/>
      <c r="Y62" s="150"/>
      <c r="Z62" s="151"/>
      <c r="AA62" s="4"/>
      <c r="AB62" s="3"/>
    </row>
    <row r="63" spans="3:28" ht="15.75" x14ac:dyDescent="0.25">
      <c r="C63" s="152"/>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2"/>
      <c r="D64" s="40" t="s">
        <v>153</v>
      </c>
      <c r="E64" s="40"/>
      <c r="G64" s="40"/>
      <c r="H64" s="40"/>
      <c r="I64" s="38"/>
      <c r="J64" s="38"/>
      <c r="K64" s="38"/>
      <c r="L64" s="40"/>
      <c r="M64" s="40"/>
      <c r="N64" s="35" t="s">
        <v>5</v>
      </c>
      <c r="O64" s="35" t="s">
        <v>5</v>
      </c>
      <c r="P64" s="40"/>
      <c r="Q64" s="4" t="s">
        <v>4</v>
      </c>
      <c r="R64" s="6"/>
      <c r="S64" s="4"/>
      <c r="T64" s="155"/>
      <c r="U64" s="155"/>
      <c r="V64" s="155"/>
      <c r="W64" s="155"/>
      <c r="X64" s="155"/>
      <c r="Y64" s="155"/>
      <c r="Z64" s="155"/>
      <c r="AA64" s="4"/>
      <c r="AB64" s="3"/>
    </row>
    <row r="65" spans="3:28" ht="15.75" x14ac:dyDescent="0.25">
      <c r="C65" s="152"/>
      <c r="D65" s="40" t="s">
        <v>502</v>
      </c>
      <c r="E65" s="40"/>
      <c r="G65" s="40"/>
      <c r="H65" s="40"/>
      <c r="I65" s="38"/>
      <c r="J65" s="38"/>
      <c r="K65" s="38"/>
      <c r="L65" s="40"/>
      <c r="M65" s="40"/>
      <c r="N65" s="4"/>
      <c r="O65" s="4"/>
      <c r="P65" s="40"/>
      <c r="Q65" s="70"/>
      <c r="R65" s="71"/>
      <c r="S65" s="71"/>
      <c r="T65" s="71"/>
      <c r="U65" s="71"/>
      <c r="V65" s="71"/>
      <c r="W65" s="71"/>
      <c r="X65" s="71"/>
      <c r="Y65" s="71"/>
      <c r="Z65" s="72"/>
      <c r="AA65" s="4"/>
      <c r="AB65" s="3"/>
    </row>
    <row r="66" spans="3:28" ht="15.75" x14ac:dyDescent="0.25">
      <c r="C66" s="152"/>
      <c r="D66" s="43"/>
      <c r="E66" s="40"/>
      <c r="G66" s="40"/>
      <c r="H66" s="40"/>
      <c r="I66" s="38"/>
      <c r="J66" s="38"/>
      <c r="K66" s="38"/>
      <c r="L66" s="40"/>
      <c r="M66" s="40"/>
      <c r="N66" s="4"/>
      <c r="O66" s="4"/>
      <c r="P66" s="40"/>
      <c r="Q66" s="73"/>
      <c r="R66" s="74"/>
      <c r="S66" s="74"/>
      <c r="T66" s="74"/>
      <c r="U66" s="74"/>
      <c r="V66" s="74"/>
      <c r="W66" s="74"/>
      <c r="X66" s="74"/>
      <c r="Y66" s="74"/>
      <c r="Z66" s="75"/>
      <c r="AA66" s="4"/>
      <c r="AB66" s="3"/>
    </row>
    <row r="67" spans="3:28" ht="15.75" x14ac:dyDescent="0.25">
      <c r="C67" s="152"/>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2"/>
      <c r="D68" s="40" t="s">
        <v>490</v>
      </c>
      <c r="E68" s="40"/>
      <c r="G68" s="40"/>
      <c r="H68" s="40"/>
      <c r="I68" s="38"/>
      <c r="J68" s="38"/>
      <c r="K68" s="38"/>
      <c r="L68" s="40"/>
      <c r="M68" s="40"/>
      <c r="N68" s="35" t="s">
        <v>5</v>
      </c>
      <c r="O68" s="35" t="s">
        <v>5</v>
      </c>
      <c r="P68" s="40"/>
      <c r="Q68" s="4" t="s">
        <v>4</v>
      </c>
      <c r="R68" s="6"/>
      <c r="S68" s="4"/>
      <c r="T68" s="155"/>
      <c r="U68" s="155"/>
      <c r="V68" s="155"/>
      <c r="W68" s="155"/>
      <c r="X68" s="155"/>
      <c r="Y68" s="155"/>
      <c r="Z68" s="155"/>
      <c r="AA68" s="4"/>
      <c r="AB68" s="3"/>
    </row>
    <row r="69" spans="3:28" ht="15.75" x14ac:dyDescent="0.25">
      <c r="C69" s="152"/>
      <c r="D69" s="40"/>
      <c r="E69" s="40"/>
      <c r="G69" s="40"/>
      <c r="H69" s="40"/>
      <c r="I69" s="38"/>
      <c r="J69" s="38"/>
      <c r="K69" s="38"/>
      <c r="L69" s="40"/>
      <c r="M69" s="40"/>
      <c r="N69" s="4"/>
      <c r="O69" s="4"/>
      <c r="P69" s="40"/>
      <c r="Q69" s="146"/>
      <c r="R69" s="147"/>
      <c r="S69" s="147"/>
      <c r="T69" s="147"/>
      <c r="U69" s="147"/>
      <c r="V69" s="147"/>
      <c r="W69" s="147"/>
      <c r="X69" s="147"/>
      <c r="Y69" s="147"/>
      <c r="Z69" s="148"/>
      <c r="AA69" s="4"/>
      <c r="AB69" s="3"/>
    </row>
    <row r="70" spans="3:28" ht="15.75" x14ac:dyDescent="0.25">
      <c r="C70" s="152"/>
      <c r="D70" s="43"/>
      <c r="E70" s="40"/>
      <c r="G70" s="40"/>
      <c r="H70" s="40"/>
      <c r="I70" s="38"/>
      <c r="J70" s="38"/>
      <c r="K70" s="38"/>
      <c r="L70" s="40"/>
      <c r="M70" s="40"/>
      <c r="N70" s="40"/>
      <c r="O70" s="40"/>
      <c r="P70" s="40"/>
      <c r="Q70" s="149"/>
      <c r="R70" s="150"/>
      <c r="S70" s="150"/>
      <c r="T70" s="150"/>
      <c r="U70" s="150"/>
      <c r="V70" s="150"/>
      <c r="W70" s="150"/>
      <c r="X70" s="150"/>
      <c r="Y70" s="150"/>
      <c r="Z70" s="151"/>
      <c r="AA70" s="4"/>
      <c r="AB70" s="3"/>
    </row>
    <row r="71" spans="3:28" ht="15.75" x14ac:dyDescent="0.25">
      <c r="C71" s="152"/>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4"/>
      <c r="AB73" s="3"/>
    </row>
    <row r="74" spans="3:28" ht="15.75" x14ac:dyDescent="0.25">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4"/>
      <c r="AB74" s="3"/>
    </row>
    <row r="75" spans="3:28" ht="15.75" x14ac:dyDescent="0.25">
      <c r="C75" s="40"/>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4"/>
      <c r="AB75" s="3"/>
    </row>
    <row r="76" spans="3:28" ht="15.75" x14ac:dyDescent="0.25">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40"/>
      <c r="AB76" s="3"/>
    </row>
    <row r="77" spans="3:28" ht="15.75" x14ac:dyDescent="0.25">
      <c r="Z77" s="16"/>
      <c r="AA77" s="16"/>
      <c r="AB77" s="3"/>
    </row>
    <row r="78" spans="3:28" x14ac:dyDescent="0.2">
      <c r="C78" s="81" t="s">
        <v>21</v>
      </c>
      <c r="D78" s="66"/>
      <c r="E78" s="66"/>
      <c r="F78" s="66"/>
      <c r="G78" s="66"/>
      <c r="H78" s="66"/>
      <c r="I78" s="66"/>
      <c r="J78" s="66"/>
      <c r="K78" s="66"/>
      <c r="L78" s="66"/>
      <c r="M78" s="66"/>
      <c r="N78" s="66"/>
      <c r="O78" s="66"/>
      <c r="P78" s="66"/>
      <c r="Q78" s="66"/>
      <c r="R78" s="66"/>
      <c r="S78" s="66"/>
      <c r="T78" s="66"/>
      <c r="U78" s="66"/>
      <c r="V78" s="66"/>
      <c r="W78" s="66"/>
      <c r="X78" s="66"/>
      <c r="Y78" s="66"/>
      <c r="Z78" s="66"/>
      <c r="AA78" s="67"/>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68"/>
      <c r="H80" s="69"/>
      <c r="I80" s="69"/>
      <c r="J80" s="69"/>
      <c r="K80" s="69"/>
      <c r="L80" s="69"/>
      <c r="N80" s="15" t="s">
        <v>0</v>
      </c>
      <c r="O80" s="15"/>
      <c r="P80" s="15"/>
      <c r="Q80" s="76"/>
      <c r="R80" s="76"/>
      <c r="T80" s="40"/>
      <c r="AA80" s="9"/>
    </row>
    <row r="81" spans="3:27" x14ac:dyDescent="0.2">
      <c r="C81" s="8"/>
      <c r="AA81" s="9"/>
    </row>
    <row r="82" spans="3:27" ht="13.5" thickBot="1" x14ac:dyDescent="0.25">
      <c r="C82" s="8"/>
      <c r="D82" s="4" t="s">
        <v>18</v>
      </c>
      <c r="E82" s="6"/>
      <c r="F82" s="21"/>
      <c r="G82" s="21"/>
      <c r="H82" s="68"/>
      <c r="I82" s="69"/>
      <c r="J82" s="69"/>
      <c r="K82" s="69"/>
      <c r="L82" s="69"/>
      <c r="M82" s="69"/>
      <c r="P82" s="4" t="s">
        <v>23</v>
      </c>
      <c r="Q82" s="6"/>
      <c r="U82" s="39"/>
      <c r="X82" s="6"/>
      <c r="Y82" s="21"/>
      <c r="Z82" s="21"/>
      <c r="AA82" s="9"/>
    </row>
    <row r="83" spans="3:27" x14ac:dyDescent="0.2">
      <c r="C83" s="8"/>
      <c r="Y83" s="65"/>
      <c r="Z83" s="65"/>
      <c r="AA83" s="9"/>
    </row>
    <row r="84" spans="3:27" ht="13.5" thickBot="1" x14ac:dyDescent="0.25">
      <c r="C84" s="8"/>
      <c r="D84" s="40" t="s">
        <v>7</v>
      </c>
      <c r="E84" s="6"/>
      <c r="F84" s="6"/>
      <c r="G84" s="6"/>
      <c r="H84" s="68"/>
      <c r="I84" s="69"/>
      <c r="J84" s="69"/>
      <c r="K84" s="69"/>
      <c r="L84" s="69"/>
      <c r="M84" s="21"/>
      <c r="N84" s="69"/>
      <c r="O84" s="69"/>
      <c r="P84" s="69"/>
      <c r="Q84" s="69"/>
      <c r="R84" s="69"/>
      <c r="S84" s="21"/>
      <c r="T84" s="69"/>
      <c r="U84" s="69"/>
      <c r="V84" s="69"/>
      <c r="W84" s="69"/>
      <c r="X84" s="69"/>
      <c r="AA84" s="9"/>
    </row>
    <row r="85" spans="3:27" x14ac:dyDescent="0.2">
      <c r="C85" s="8"/>
      <c r="D85" s="40"/>
      <c r="E85" s="6"/>
      <c r="F85" s="6"/>
      <c r="G85" s="6"/>
      <c r="H85" s="65"/>
      <c r="I85" s="65"/>
      <c r="J85" s="65"/>
      <c r="K85" s="65"/>
      <c r="L85" s="6"/>
      <c r="M85" s="65"/>
      <c r="N85" s="65"/>
      <c r="O85" s="65"/>
      <c r="P85" s="65"/>
      <c r="Q85" s="6"/>
      <c r="R85" s="65"/>
      <c r="S85" s="65"/>
      <c r="T85" s="65"/>
      <c r="U85" s="65"/>
      <c r="V85" s="6"/>
      <c r="W85" s="65"/>
      <c r="X85" s="65"/>
      <c r="Y85" s="21"/>
      <c r="Z85" s="21"/>
      <c r="AA85" s="9"/>
    </row>
    <row r="86" spans="3:27" ht="13.5" thickBot="1" x14ac:dyDescent="0.25">
      <c r="C86" s="8"/>
      <c r="H86" s="69"/>
      <c r="I86" s="69"/>
      <c r="J86" s="69"/>
      <c r="K86" s="69"/>
      <c r="L86" s="69"/>
      <c r="M86" s="21"/>
      <c r="N86" s="69"/>
      <c r="O86" s="69"/>
      <c r="P86" s="69"/>
      <c r="Q86" s="69"/>
      <c r="R86" s="69"/>
      <c r="S86" s="21"/>
      <c r="T86" s="69"/>
      <c r="U86" s="69"/>
      <c r="V86" s="69"/>
      <c r="W86" s="69"/>
      <c r="X86" s="69"/>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6">
    <mergeCell ref="D73:Z73"/>
    <mergeCell ref="D74:Z74"/>
    <mergeCell ref="D75:Z75"/>
    <mergeCell ref="D76:Z76"/>
    <mergeCell ref="C10:C28"/>
    <mergeCell ref="T51:Z51"/>
    <mergeCell ref="Q52:Z53"/>
    <mergeCell ref="Q19:Z20"/>
    <mergeCell ref="Q23:Z24"/>
    <mergeCell ref="Q27:Z28"/>
    <mergeCell ref="Q40:Z41"/>
    <mergeCell ref="T43:Z43"/>
    <mergeCell ref="Q44:Z45"/>
    <mergeCell ref="T47:Z47"/>
    <mergeCell ref="Q48:Z49"/>
    <mergeCell ref="T60:Z60"/>
    <mergeCell ref="X1:Y1"/>
    <mergeCell ref="Z1:AA1"/>
    <mergeCell ref="C2:AA2"/>
    <mergeCell ref="Q11:Z12"/>
    <mergeCell ref="Q15:Z16"/>
    <mergeCell ref="Q61:Z62"/>
    <mergeCell ref="C60:C71"/>
    <mergeCell ref="G4:O4"/>
    <mergeCell ref="U4:AA4"/>
    <mergeCell ref="G6:M6"/>
    <mergeCell ref="T55:Z55"/>
    <mergeCell ref="Q56:Z57"/>
    <mergeCell ref="T64:Z64"/>
    <mergeCell ref="T68:Z68"/>
    <mergeCell ref="Q69:Z70"/>
    <mergeCell ref="C30:C58"/>
    <mergeCell ref="T30:Z30"/>
    <mergeCell ref="Q31:Z32"/>
    <mergeCell ref="T34:Z34"/>
    <mergeCell ref="T39:Z39"/>
  </mergeCells>
  <conditionalFormatting sqref="N1:N5 N7:N28 N30:N32 N34:N59 N92:N1048576 O88 N64:N87">
    <cfRule type="cellIs" dxfId="31" priority="15" operator="equal">
      <formula>"N/A"</formula>
    </cfRule>
    <cfRule type="cellIs" dxfId="30" priority="16" operator="equal">
      <formula>"X"</formula>
    </cfRule>
  </conditionalFormatting>
  <conditionalFormatting sqref="O1:O5 O7:O28 O30:O32 O34:O59 O92:O1048576 P88 O64:O87">
    <cfRule type="cellIs" dxfId="29" priority="13" operator="equal">
      <formula>"N/A"</formula>
    </cfRule>
    <cfRule type="cellIs" dxfId="28" priority="14" operator="equal">
      <formula>"X"</formula>
    </cfRule>
  </conditionalFormatting>
  <conditionalFormatting sqref="N60:N63">
    <cfRule type="cellIs" dxfId="27" priority="7" operator="equal">
      <formula>"N/A"</formula>
    </cfRule>
    <cfRule type="cellIs" dxfId="26" priority="8" operator="equal">
      <formula>"X"</formula>
    </cfRule>
  </conditionalFormatting>
  <conditionalFormatting sqref="O60:O63">
    <cfRule type="cellIs" dxfId="25" priority="5" operator="equal">
      <formula>"N/A"</formula>
    </cfRule>
    <cfRule type="cellIs" dxfId="24" priority="6" operator="equal">
      <formula>"X"</formula>
    </cfRule>
  </conditionalFormatting>
  <dataValidations count="3">
    <dataValidation type="list" showInputMessage="1" showErrorMessage="1" sqref="N10:O10 N22:O22 N26:O27 N18:O18 N14:O14 N51:O51 N47:O47 N43:O43 N30:O30 N34:O34 N39:O39 N55:O55 N64:O64 N68:O68 N60:O60" xr:uid="{00000000-0002-0000-0200-000000000000}">
      <formula1>Checkmark</formula1>
    </dataValidation>
    <dataValidation type="list" showInputMessage="1" showErrorMessage="1" sqref="U82" xr:uid="{23DD8E4F-B845-4D2E-B94D-0AF2196CDBE1}">
      <formula1>Approved</formula1>
    </dataValidation>
    <dataValidation showInputMessage="1" showErrorMessage="1" sqref="A4:AA7" xr:uid="{00000000-0002-0000-0200-000002000000}"/>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0"/>
    </row>
    <row r="2" spans="1:4" x14ac:dyDescent="0.2">
      <c r="B2" s="2" t="s">
        <v>2</v>
      </c>
      <c r="D2" s="40"/>
    </row>
    <row r="3" spans="1:4" x14ac:dyDescent="0.2">
      <c r="B3" s="2" t="s">
        <v>3</v>
      </c>
      <c r="D3" s="40"/>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130</v>
      </c>
    </row>
    <row r="17" spans="1:2" x14ac:dyDescent="0.2">
      <c r="B17" s="2" t="s">
        <v>5</v>
      </c>
    </row>
    <row r="19" spans="1:2" x14ac:dyDescent="0.2">
      <c r="A19" s="40" t="s">
        <v>138</v>
      </c>
    </row>
    <row r="20" spans="1:2" x14ac:dyDescent="0.2">
      <c r="B20" s="40" t="s">
        <v>2</v>
      </c>
    </row>
    <row r="21" spans="1:2" x14ac:dyDescent="0.2">
      <c r="A21" s="40"/>
      <c r="B21" s="40"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39717-53F5-4A5A-B929-F27DB1B2394A}">
  <sheetPr codeName="Sheet21">
    <pageSetUpPr fitToPage="1"/>
  </sheetPr>
  <dimension ref="C1:AB87"/>
  <sheetViews>
    <sheetView topLeftCell="B1" workbookViewId="0">
      <selection activeCell="G6" sqref="G6:M6"/>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41" t="str">
        <f>'Summary Sheet (Template)'!X1:Y1</f>
        <v>Rev 1.00</v>
      </c>
      <c r="Y1" s="141"/>
      <c r="Z1" s="142">
        <v>43250</v>
      </c>
      <c r="AA1" s="142"/>
    </row>
    <row r="2" spans="3:28" ht="24" thickBot="1" x14ac:dyDescent="0.4">
      <c r="C2" s="143" t="s">
        <v>516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3" t="s">
        <v>514</v>
      </c>
      <c r="H4" s="153"/>
      <c r="I4" s="153"/>
      <c r="J4" s="153"/>
      <c r="K4" s="153"/>
      <c r="L4" s="153"/>
      <c r="M4" s="153"/>
      <c r="N4" s="153"/>
      <c r="O4" s="153"/>
      <c r="P4" s="21"/>
      <c r="Q4" s="4" t="s">
        <v>19</v>
      </c>
      <c r="R4" s="21"/>
      <c r="S4" s="21"/>
      <c r="T4" s="21"/>
      <c r="U4" s="160" t="s">
        <v>517</v>
      </c>
      <c r="V4" s="153"/>
      <c r="W4" s="153"/>
      <c r="X4" s="153"/>
      <c r="Y4" s="153"/>
      <c r="Z4" s="153"/>
      <c r="AA4" s="153"/>
    </row>
    <row r="5" spans="3:28" x14ac:dyDescent="0.2">
      <c r="C5" s="4"/>
      <c r="D5" s="4"/>
      <c r="E5" s="4"/>
      <c r="F5" s="103"/>
      <c r="G5" s="103"/>
      <c r="H5" s="103"/>
      <c r="J5" s="4"/>
      <c r="K5" s="6"/>
      <c r="L5" s="6"/>
      <c r="M5" s="6"/>
      <c r="N5" s="6"/>
      <c r="O5" s="6"/>
      <c r="P5" s="6"/>
      <c r="Q5" s="6"/>
      <c r="R5" s="6"/>
      <c r="S5" s="6"/>
      <c r="T5" s="6"/>
      <c r="V5" s="4"/>
      <c r="W5" s="6"/>
      <c r="X5" s="6"/>
      <c r="Y5" s="6"/>
      <c r="Z5" s="6"/>
      <c r="AA5" s="6"/>
    </row>
    <row r="6" spans="3:28" ht="13.5" thickBot="1" x14ac:dyDescent="0.25">
      <c r="C6" s="6" t="s">
        <v>6</v>
      </c>
      <c r="D6" s="6"/>
      <c r="E6" s="6"/>
      <c r="F6" s="6"/>
      <c r="G6" s="153" t="s">
        <v>515</v>
      </c>
      <c r="H6" s="154"/>
      <c r="I6" s="154"/>
      <c r="J6" s="154"/>
      <c r="K6" s="154"/>
      <c r="L6" s="154"/>
      <c r="M6" s="154"/>
    </row>
    <row r="7" spans="3:28" x14ac:dyDescent="0.2">
      <c r="C7" s="4"/>
      <c r="D7" s="4"/>
      <c r="E7" s="15"/>
      <c r="F7" s="15"/>
      <c r="G7" s="4"/>
      <c r="H7" s="37"/>
      <c r="I7" s="37"/>
      <c r="J7" s="37"/>
      <c r="K7" s="37"/>
      <c r="L7" s="37"/>
      <c r="M7" s="37"/>
      <c r="N7" s="37"/>
      <c r="O7" s="37"/>
      <c r="Q7" s="6"/>
      <c r="R7" s="6"/>
      <c r="S7" s="6"/>
      <c r="T7" s="6"/>
      <c r="U7" s="103"/>
      <c r="V7" s="103"/>
      <c r="W7" s="103"/>
      <c r="X7" s="103"/>
      <c r="Y7" s="103"/>
      <c r="Z7" s="103"/>
      <c r="AA7" s="103"/>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2" t="s">
        <v>123</v>
      </c>
      <c r="D10" s="18" t="s">
        <v>31</v>
      </c>
      <c r="E10" s="18"/>
      <c r="F10" s="19"/>
      <c r="G10" s="18"/>
      <c r="H10" s="18"/>
      <c r="I10" s="20"/>
      <c r="J10" s="20"/>
      <c r="K10" s="20"/>
      <c r="L10" s="18"/>
      <c r="M10" s="18"/>
      <c r="N10" s="36" t="s">
        <v>24</v>
      </c>
      <c r="O10" s="36"/>
      <c r="P10" s="18"/>
      <c r="Q10" s="17" t="s">
        <v>4</v>
      </c>
      <c r="R10" s="22"/>
      <c r="S10" s="42"/>
      <c r="T10" s="42"/>
      <c r="U10" s="42"/>
      <c r="V10" s="42"/>
      <c r="W10" s="42"/>
      <c r="X10" s="42"/>
      <c r="Y10" s="42"/>
      <c r="Z10" s="42"/>
      <c r="AA10" s="4"/>
      <c r="AB10" s="3"/>
    </row>
    <row r="11" spans="3:28" ht="15.75" x14ac:dyDescent="0.25">
      <c r="C11" s="152"/>
      <c r="D11" s="18" t="s">
        <v>492</v>
      </c>
      <c r="E11" s="18"/>
      <c r="F11" s="19"/>
      <c r="G11" s="18"/>
      <c r="H11" s="18"/>
      <c r="I11" s="20"/>
      <c r="J11" s="20"/>
      <c r="K11" s="20"/>
      <c r="L11" s="18"/>
      <c r="M11" s="18"/>
      <c r="N11" s="18"/>
      <c r="O11" s="18"/>
      <c r="P11" s="18"/>
      <c r="Q11" s="146"/>
      <c r="R11" s="147"/>
      <c r="S11" s="147"/>
      <c r="T11" s="147"/>
      <c r="U11" s="147"/>
      <c r="V11" s="147"/>
      <c r="W11" s="147"/>
      <c r="X11" s="147"/>
      <c r="Y11" s="147"/>
      <c r="Z11" s="148"/>
      <c r="AA11" s="4"/>
      <c r="AB11" s="3"/>
    </row>
    <row r="12" spans="3:28" ht="15.75" x14ac:dyDescent="0.25">
      <c r="C12" s="152"/>
      <c r="D12" s="43"/>
      <c r="E12" s="18"/>
      <c r="F12" s="19"/>
      <c r="G12" s="18"/>
      <c r="H12" s="18"/>
      <c r="I12" s="20"/>
      <c r="J12" s="20"/>
      <c r="K12" s="20"/>
      <c r="L12" s="18"/>
      <c r="M12" s="18"/>
      <c r="N12" s="18"/>
      <c r="O12" s="18"/>
      <c r="P12" s="18"/>
      <c r="Q12" s="149"/>
      <c r="R12" s="150"/>
      <c r="S12" s="150"/>
      <c r="T12" s="150"/>
      <c r="U12" s="150"/>
      <c r="V12" s="150"/>
      <c r="W12" s="150"/>
      <c r="X12" s="150"/>
      <c r="Y12" s="150"/>
      <c r="Z12" s="151"/>
      <c r="AA12" s="4"/>
      <c r="AB12" s="3"/>
    </row>
    <row r="13" spans="3:28" ht="15.75" x14ac:dyDescent="0.25">
      <c r="C13" s="152"/>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2"/>
      <c r="D14" s="18" t="s">
        <v>34</v>
      </c>
      <c r="E14" s="18"/>
      <c r="F14" s="19"/>
      <c r="G14" s="18"/>
      <c r="H14" s="18"/>
      <c r="I14" s="20"/>
      <c r="J14" s="20"/>
      <c r="K14" s="20"/>
      <c r="L14" s="18"/>
      <c r="M14" s="18"/>
      <c r="N14" s="36" t="s">
        <v>130</v>
      </c>
      <c r="O14" s="36"/>
      <c r="P14" s="18"/>
      <c r="Q14" s="17" t="s">
        <v>4</v>
      </c>
      <c r="R14" s="22"/>
      <c r="S14" s="17"/>
      <c r="T14" s="17"/>
      <c r="U14" s="23"/>
      <c r="V14" s="23"/>
      <c r="W14" s="23"/>
      <c r="X14" s="17"/>
      <c r="Y14" s="17"/>
      <c r="Z14" s="17"/>
      <c r="AA14" s="4"/>
      <c r="AB14" s="3"/>
    </row>
    <row r="15" spans="3:28" ht="15.75" x14ac:dyDescent="0.25">
      <c r="C15" s="152"/>
      <c r="D15" s="18" t="s">
        <v>493</v>
      </c>
      <c r="E15" s="18"/>
      <c r="F15" s="19"/>
      <c r="G15" s="18"/>
      <c r="H15" s="18"/>
      <c r="I15" s="20"/>
      <c r="J15" s="20"/>
      <c r="K15" s="20"/>
      <c r="L15" s="18"/>
      <c r="M15" s="18"/>
      <c r="N15" s="18"/>
      <c r="O15" s="18"/>
      <c r="P15" s="18"/>
      <c r="Q15" s="146"/>
      <c r="R15" s="147"/>
      <c r="S15" s="147"/>
      <c r="T15" s="147"/>
      <c r="U15" s="147"/>
      <c r="V15" s="147"/>
      <c r="W15" s="147"/>
      <c r="X15" s="147"/>
      <c r="Y15" s="147"/>
      <c r="Z15" s="148"/>
      <c r="AA15" s="4"/>
      <c r="AB15" s="3"/>
    </row>
    <row r="16" spans="3:28" ht="15.75" x14ac:dyDescent="0.25">
      <c r="C16" s="152"/>
      <c r="D16" s="43"/>
      <c r="E16" s="18"/>
      <c r="F16" s="19"/>
      <c r="G16" s="18"/>
      <c r="H16" s="18"/>
      <c r="I16" s="20"/>
      <c r="J16" s="20"/>
      <c r="K16" s="20"/>
      <c r="L16" s="18"/>
      <c r="M16" s="18"/>
      <c r="N16" s="18"/>
      <c r="O16" s="18"/>
      <c r="P16" s="18"/>
      <c r="Q16" s="149"/>
      <c r="R16" s="150"/>
      <c r="S16" s="150"/>
      <c r="T16" s="150"/>
      <c r="U16" s="150"/>
      <c r="V16" s="150"/>
      <c r="W16" s="150"/>
      <c r="X16" s="150"/>
      <c r="Y16" s="150"/>
      <c r="Z16" s="151"/>
      <c r="AA16" s="4"/>
      <c r="AB16" s="3"/>
    </row>
    <row r="17" spans="3:28" ht="15.75" x14ac:dyDescent="0.25">
      <c r="C17" s="152"/>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2"/>
      <c r="D18" s="18" t="s">
        <v>35</v>
      </c>
      <c r="E18" s="18"/>
      <c r="F18" s="19"/>
      <c r="G18" s="18"/>
      <c r="H18" s="18"/>
      <c r="I18" s="20"/>
      <c r="J18" s="20"/>
      <c r="K18" s="20"/>
      <c r="L18" s="18"/>
      <c r="M18" s="18"/>
      <c r="N18" s="36" t="s">
        <v>24</v>
      </c>
      <c r="O18" s="36" t="s">
        <v>5</v>
      </c>
      <c r="P18" s="18"/>
      <c r="Q18" s="17" t="s">
        <v>4</v>
      </c>
      <c r="R18" s="22"/>
      <c r="S18" s="17"/>
      <c r="T18" s="17"/>
      <c r="U18" s="23"/>
      <c r="V18" s="23"/>
      <c r="W18" s="23"/>
      <c r="X18" s="17"/>
      <c r="Y18" s="17"/>
      <c r="Z18" s="17"/>
      <c r="AA18" s="4"/>
      <c r="AB18" s="3"/>
    </row>
    <row r="19" spans="3:28" ht="15.75" x14ac:dyDescent="0.25">
      <c r="C19" s="152"/>
      <c r="D19" s="18" t="s">
        <v>494</v>
      </c>
      <c r="E19" s="18"/>
      <c r="F19" s="19"/>
      <c r="G19" s="18"/>
      <c r="H19" s="18"/>
      <c r="I19" s="20"/>
      <c r="J19" s="20"/>
      <c r="K19" s="20"/>
      <c r="L19" s="18"/>
      <c r="M19" s="18"/>
      <c r="N19" s="17"/>
      <c r="O19" s="17"/>
      <c r="P19" s="18"/>
      <c r="Q19" s="146" t="s">
        <v>519</v>
      </c>
      <c r="R19" s="147"/>
      <c r="S19" s="147"/>
      <c r="T19" s="147"/>
      <c r="U19" s="147"/>
      <c r="V19" s="147"/>
      <c r="W19" s="147"/>
      <c r="X19" s="147"/>
      <c r="Y19" s="147"/>
      <c r="Z19" s="148"/>
      <c r="AA19" s="4"/>
      <c r="AB19" s="3"/>
    </row>
    <row r="20" spans="3:28" ht="15.75" x14ac:dyDescent="0.25">
      <c r="C20" s="152"/>
      <c r="D20" s="43"/>
      <c r="E20" s="18"/>
      <c r="F20" s="19"/>
      <c r="G20" s="18"/>
      <c r="H20" s="18"/>
      <c r="I20" s="20"/>
      <c r="J20" s="20"/>
      <c r="K20" s="20"/>
      <c r="L20" s="18"/>
      <c r="M20" s="18"/>
      <c r="N20" s="17"/>
      <c r="O20" s="17"/>
      <c r="P20" s="18"/>
      <c r="Q20" s="149"/>
      <c r="R20" s="150"/>
      <c r="S20" s="150"/>
      <c r="T20" s="150"/>
      <c r="U20" s="150"/>
      <c r="V20" s="150"/>
      <c r="W20" s="150"/>
      <c r="X20" s="150"/>
      <c r="Y20" s="150"/>
      <c r="Z20" s="151"/>
      <c r="AA20" s="4"/>
      <c r="AB20" s="3"/>
    </row>
    <row r="21" spans="3:28" ht="15.75" x14ac:dyDescent="0.25">
      <c r="C21" s="152"/>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2"/>
      <c r="D22" s="18" t="s">
        <v>485</v>
      </c>
      <c r="E22" s="18"/>
      <c r="F22" s="19"/>
      <c r="G22" s="18"/>
      <c r="H22" s="18"/>
      <c r="I22" s="20"/>
      <c r="J22" s="20"/>
      <c r="K22" s="20"/>
      <c r="L22" s="18"/>
      <c r="M22" s="18"/>
      <c r="N22" s="36" t="s">
        <v>130</v>
      </c>
      <c r="O22" s="36" t="s">
        <v>5</v>
      </c>
      <c r="P22" s="18"/>
      <c r="Q22" s="17" t="s">
        <v>4</v>
      </c>
      <c r="R22" s="22"/>
      <c r="S22" s="17"/>
      <c r="T22" s="17"/>
      <c r="U22" s="23"/>
      <c r="V22" s="23"/>
      <c r="W22" s="23"/>
      <c r="X22" s="17"/>
      <c r="Y22" s="17"/>
      <c r="Z22" s="17"/>
      <c r="AA22" s="4"/>
      <c r="AB22" s="3"/>
    </row>
    <row r="23" spans="3:28" ht="15.75" x14ac:dyDescent="0.25">
      <c r="C23" s="152"/>
      <c r="D23" s="18" t="s">
        <v>495</v>
      </c>
      <c r="E23" s="18"/>
      <c r="F23" s="19"/>
      <c r="G23" s="18"/>
      <c r="H23" s="18"/>
      <c r="I23" s="20"/>
      <c r="J23" s="20"/>
      <c r="K23" s="20"/>
      <c r="L23" s="18"/>
      <c r="M23" s="18"/>
      <c r="N23" s="17"/>
      <c r="O23" s="17"/>
      <c r="P23" s="18"/>
      <c r="Q23" s="146"/>
      <c r="R23" s="147"/>
      <c r="S23" s="147"/>
      <c r="T23" s="147"/>
      <c r="U23" s="147"/>
      <c r="V23" s="147"/>
      <c r="W23" s="147"/>
      <c r="X23" s="147"/>
      <c r="Y23" s="147"/>
      <c r="Z23" s="148"/>
      <c r="AA23" s="4"/>
      <c r="AB23" s="3"/>
    </row>
    <row r="24" spans="3:28" ht="15.75" x14ac:dyDescent="0.25">
      <c r="C24" s="152"/>
      <c r="D24" s="43"/>
      <c r="E24" s="18"/>
      <c r="F24" s="19"/>
      <c r="G24" s="18"/>
      <c r="H24" s="18"/>
      <c r="I24" s="20"/>
      <c r="J24" s="20"/>
      <c r="K24" s="20"/>
      <c r="L24" s="18"/>
      <c r="M24" s="18"/>
      <c r="N24" s="17"/>
      <c r="O24" s="17"/>
      <c r="P24" s="18"/>
      <c r="Q24" s="149"/>
      <c r="R24" s="150"/>
      <c r="S24" s="150"/>
      <c r="T24" s="150"/>
      <c r="U24" s="150"/>
      <c r="V24" s="150"/>
      <c r="W24" s="150"/>
      <c r="X24" s="150"/>
      <c r="Y24" s="150"/>
      <c r="Z24" s="151"/>
      <c r="AA24" s="4"/>
      <c r="AB24" s="3"/>
    </row>
    <row r="25" spans="3:28" ht="15.75" x14ac:dyDescent="0.25">
      <c r="C25" s="152"/>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2"/>
      <c r="D26" s="78" t="s">
        <v>484</v>
      </c>
      <c r="E26" s="78"/>
      <c r="F26" s="18" t="s">
        <v>486</v>
      </c>
      <c r="G26" s="18"/>
      <c r="H26" s="18"/>
      <c r="I26" s="20"/>
      <c r="J26" s="20"/>
      <c r="K26" s="20"/>
      <c r="L26" s="18"/>
      <c r="M26" s="18"/>
      <c r="N26" s="36" t="s">
        <v>130</v>
      </c>
      <c r="O26" s="36" t="s">
        <v>5</v>
      </c>
      <c r="P26" s="18"/>
      <c r="Q26" s="17" t="s">
        <v>4</v>
      </c>
      <c r="R26" s="22"/>
      <c r="S26" s="17"/>
      <c r="T26" s="17"/>
      <c r="U26" s="23"/>
      <c r="V26" s="23"/>
      <c r="W26" s="23"/>
      <c r="X26" s="17"/>
      <c r="Y26" s="17"/>
      <c r="Z26" s="17"/>
      <c r="AA26" s="4"/>
      <c r="AB26" s="3"/>
    </row>
    <row r="27" spans="3:28" ht="15.75" x14ac:dyDescent="0.25">
      <c r="C27" s="152"/>
      <c r="D27" s="18" t="s">
        <v>487</v>
      </c>
      <c r="E27" s="18"/>
      <c r="F27" s="19"/>
      <c r="G27" s="18"/>
      <c r="H27" s="18"/>
      <c r="I27" s="20"/>
      <c r="J27" s="20"/>
      <c r="K27" s="20"/>
      <c r="L27" s="18"/>
      <c r="M27" s="18"/>
      <c r="N27" s="77"/>
      <c r="O27" s="77"/>
      <c r="P27" s="18"/>
      <c r="Q27" s="146"/>
      <c r="R27" s="147"/>
      <c r="S27" s="147"/>
      <c r="T27" s="147"/>
      <c r="U27" s="147"/>
      <c r="V27" s="147"/>
      <c r="W27" s="147"/>
      <c r="X27" s="147"/>
      <c r="Y27" s="147"/>
      <c r="Z27" s="148"/>
      <c r="AA27" s="4"/>
      <c r="AB27" s="3"/>
    </row>
    <row r="28" spans="3:28" ht="15.75" x14ac:dyDescent="0.25">
      <c r="C28" s="152"/>
      <c r="D28" s="18" t="s">
        <v>496</v>
      </c>
      <c r="E28" s="18"/>
      <c r="F28" s="19"/>
      <c r="G28" s="18"/>
      <c r="H28" s="18"/>
      <c r="I28" s="20"/>
      <c r="J28" s="20"/>
      <c r="K28" s="20"/>
      <c r="L28" s="18"/>
      <c r="M28" s="18"/>
      <c r="N28" s="17"/>
      <c r="O28" s="17"/>
      <c r="P28" s="18"/>
      <c r="Q28" s="149"/>
      <c r="R28" s="150"/>
      <c r="S28" s="150"/>
      <c r="T28" s="150"/>
      <c r="U28" s="150"/>
      <c r="V28" s="150"/>
      <c r="W28" s="150"/>
      <c r="X28" s="150"/>
      <c r="Y28" s="150"/>
      <c r="Z28" s="151"/>
      <c r="AA28" s="4"/>
      <c r="AB28" s="3"/>
    </row>
    <row r="29" spans="3:28" ht="15.75" x14ac:dyDescent="0.25">
      <c r="AA29" s="4"/>
      <c r="AB29" s="3"/>
    </row>
    <row r="30" spans="3:28" ht="15.75" x14ac:dyDescent="0.25">
      <c r="C30" s="152" t="s">
        <v>122</v>
      </c>
      <c r="D30" s="40" t="s">
        <v>125</v>
      </c>
      <c r="E30" s="40"/>
      <c r="G30" s="40"/>
      <c r="H30" s="40"/>
      <c r="I30" s="38"/>
      <c r="J30" s="38"/>
      <c r="K30" s="38"/>
      <c r="L30" s="40"/>
      <c r="M30" s="40"/>
      <c r="N30" s="35" t="s">
        <v>24</v>
      </c>
      <c r="O30" s="35" t="s">
        <v>5</v>
      </c>
      <c r="P30" s="40"/>
      <c r="Q30" s="4" t="s">
        <v>4</v>
      </c>
      <c r="R30" s="6"/>
      <c r="S30" s="4"/>
      <c r="T30" s="155"/>
      <c r="U30" s="155"/>
      <c r="V30" s="155"/>
      <c r="W30" s="155"/>
      <c r="X30" s="155"/>
      <c r="Y30" s="155"/>
      <c r="Z30" s="155"/>
      <c r="AA30" s="4"/>
      <c r="AB30" s="3"/>
    </row>
    <row r="31" spans="3:28" ht="15.75" x14ac:dyDescent="0.25">
      <c r="C31" s="152"/>
      <c r="D31" s="40" t="s">
        <v>126</v>
      </c>
      <c r="E31" s="40"/>
      <c r="G31" s="40"/>
      <c r="H31" s="40"/>
      <c r="I31" s="38"/>
      <c r="J31" s="38"/>
      <c r="K31" s="38"/>
      <c r="L31" s="40"/>
      <c r="M31" s="40"/>
      <c r="N31" s="40"/>
      <c r="O31" s="40"/>
      <c r="P31" s="40"/>
      <c r="Q31" s="146"/>
      <c r="R31" s="147"/>
      <c r="S31" s="147"/>
      <c r="T31" s="147"/>
      <c r="U31" s="147"/>
      <c r="V31" s="147"/>
      <c r="W31" s="147"/>
      <c r="X31" s="147"/>
      <c r="Y31" s="147"/>
      <c r="Z31" s="148"/>
      <c r="AA31" s="4"/>
      <c r="AB31" s="3"/>
    </row>
    <row r="32" spans="3:28" ht="15.75" x14ac:dyDescent="0.25">
      <c r="C32" s="152"/>
      <c r="D32" s="43"/>
      <c r="E32" s="40"/>
      <c r="G32" s="40"/>
      <c r="H32" s="40"/>
      <c r="I32" s="38"/>
      <c r="J32" s="38"/>
      <c r="K32" s="38"/>
      <c r="L32" s="40"/>
      <c r="M32" s="40"/>
      <c r="N32" s="40"/>
      <c r="O32" s="40"/>
      <c r="P32" s="40"/>
      <c r="Q32" s="149"/>
      <c r="R32" s="150"/>
      <c r="S32" s="150"/>
      <c r="T32" s="150"/>
      <c r="U32" s="150"/>
      <c r="V32" s="150"/>
      <c r="W32" s="150"/>
      <c r="X32" s="150"/>
      <c r="Y32" s="150"/>
      <c r="Z32" s="151"/>
      <c r="AA32" s="4"/>
      <c r="AB32" s="3"/>
    </row>
    <row r="33" spans="3:28" ht="15.75" x14ac:dyDescent="0.25">
      <c r="C33" s="152"/>
      <c r="AA33" s="4"/>
      <c r="AB33" s="3"/>
    </row>
    <row r="34" spans="3:28" ht="15.75" x14ac:dyDescent="0.25">
      <c r="C34" s="152"/>
      <c r="D34" s="40" t="s">
        <v>36</v>
      </c>
      <c r="E34" s="40"/>
      <c r="G34" s="40"/>
      <c r="H34" s="40"/>
      <c r="I34" s="38"/>
      <c r="J34" s="38"/>
      <c r="K34" s="38"/>
      <c r="L34" s="40"/>
      <c r="M34" s="40"/>
      <c r="N34" s="35" t="s">
        <v>24</v>
      </c>
      <c r="O34" s="35" t="s">
        <v>5</v>
      </c>
      <c r="P34" s="40"/>
      <c r="Q34" s="4" t="s">
        <v>4</v>
      </c>
      <c r="R34" s="6"/>
      <c r="S34" s="4"/>
      <c r="T34" s="155"/>
      <c r="U34" s="155"/>
      <c r="V34" s="155"/>
      <c r="W34" s="155"/>
      <c r="X34" s="155"/>
      <c r="Y34" s="155"/>
      <c r="Z34" s="155"/>
      <c r="AA34" s="4"/>
      <c r="AB34" s="3"/>
    </row>
    <row r="35" spans="3:28" ht="15.75" x14ac:dyDescent="0.25">
      <c r="C35" s="152"/>
      <c r="D35" s="40" t="s">
        <v>497</v>
      </c>
      <c r="E35" s="40"/>
      <c r="G35" s="40"/>
      <c r="H35" s="40"/>
      <c r="I35" s="38"/>
      <c r="J35" s="38"/>
      <c r="K35" s="38"/>
      <c r="L35" s="40"/>
      <c r="M35" s="40"/>
      <c r="N35" s="4"/>
      <c r="O35" s="4"/>
      <c r="P35" s="40"/>
      <c r="Q35" s="108"/>
      <c r="R35" s="109"/>
      <c r="S35" s="109"/>
      <c r="T35" s="109"/>
      <c r="U35" s="109"/>
      <c r="V35" s="109"/>
      <c r="W35" s="109"/>
      <c r="X35" s="109"/>
      <c r="Y35" s="109"/>
      <c r="Z35" s="110"/>
      <c r="AA35" s="4"/>
      <c r="AB35" s="3"/>
    </row>
    <row r="36" spans="3:28" ht="15.75" x14ac:dyDescent="0.25">
      <c r="C36" s="152"/>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2"/>
      <c r="D37" s="43"/>
      <c r="E37" s="40"/>
      <c r="G37" s="40"/>
      <c r="H37" s="40"/>
      <c r="I37" s="38"/>
      <c r="J37" s="38"/>
      <c r="K37" s="38"/>
      <c r="L37" s="40"/>
      <c r="M37" s="40"/>
      <c r="N37" s="4"/>
      <c r="O37" s="4"/>
      <c r="P37" s="40"/>
      <c r="Q37" s="111"/>
      <c r="R37" s="112"/>
      <c r="S37" s="112"/>
      <c r="T37" s="112"/>
      <c r="U37" s="112"/>
      <c r="V37" s="112"/>
      <c r="W37" s="112"/>
      <c r="X37" s="112"/>
      <c r="Y37" s="112"/>
      <c r="Z37" s="113"/>
      <c r="AA37" s="4"/>
      <c r="AB37" s="3"/>
    </row>
    <row r="38" spans="3:28" ht="15.75" x14ac:dyDescent="0.25">
      <c r="C38" s="152"/>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2"/>
      <c r="D39" s="40" t="s">
        <v>37</v>
      </c>
      <c r="E39" s="40"/>
      <c r="G39" s="40"/>
      <c r="H39" s="40"/>
      <c r="I39" s="38"/>
      <c r="J39" s="38"/>
      <c r="K39" s="38"/>
      <c r="L39" s="40"/>
      <c r="M39" s="40"/>
      <c r="N39" s="35" t="s">
        <v>130</v>
      </c>
      <c r="O39" s="35" t="s">
        <v>5</v>
      </c>
      <c r="P39" s="40"/>
      <c r="Q39" s="4" t="s">
        <v>4</v>
      </c>
      <c r="R39" s="6"/>
      <c r="S39" s="4"/>
      <c r="T39" s="155"/>
      <c r="U39" s="155"/>
      <c r="V39" s="155"/>
      <c r="W39" s="155"/>
      <c r="X39" s="155"/>
      <c r="Y39" s="155"/>
      <c r="Z39" s="155"/>
      <c r="AA39" s="4"/>
      <c r="AB39" s="3"/>
    </row>
    <row r="40" spans="3:28" ht="15.75" x14ac:dyDescent="0.25">
      <c r="C40" s="152"/>
      <c r="D40" s="40" t="s">
        <v>498</v>
      </c>
      <c r="E40" s="40"/>
      <c r="G40" s="40"/>
      <c r="H40" s="40"/>
      <c r="I40" s="38"/>
      <c r="J40" s="38"/>
      <c r="K40" s="38"/>
      <c r="L40" s="40"/>
      <c r="M40" s="40"/>
      <c r="N40" s="4"/>
      <c r="O40" s="4"/>
      <c r="P40" s="40"/>
      <c r="Q40" s="146"/>
      <c r="R40" s="147"/>
      <c r="S40" s="147"/>
      <c r="T40" s="147"/>
      <c r="U40" s="147"/>
      <c r="V40" s="147"/>
      <c r="W40" s="147"/>
      <c r="X40" s="147"/>
      <c r="Y40" s="147"/>
      <c r="Z40" s="148"/>
      <c r="AA40" s="4"/>
      <c r="AB40" s="3"/>
    </row>
    <row r="41" spans="3:28" ht="15.75" x14ac:dyDescent="0.25">
      <c r="C41" s="152"/>
      <c r="D41" s="43"/>
      <c r="E41" s="40"/>
      <c r="G41" s="40"/>
      <c r="H41" s="40"/>
      <c r="I41" s="38"/>
      <c r="J41" s="38"/>
      <c r="K41" s="38"/>
      <c r="L41" s="40"/>
      <c r="M41" s="40"/>
      <c r="N41" s="4"/>
      <c r="O41" s="4"/>
      <c r="P41" s="40"/>
      <c r="Q41" s="149"/>
      <c r="R41" s="150"/>
      <c r="S41" s="150"/>
      <c r="T41" s="150"/>
      <c r="U41" s="150"/>
      <c r="V41" s="150"/>
      <c r="W41" s="150"/>
      <c r="X41" s="150"/>
      <c r="Y41" s="150"/>
      <c r="Z41" s="151"/>
      <c r="AA41" s="4"/>
      <c r="AB41" s="3"/>
    </row>
    <row r="42" spans="3:28" ht="15.75" x14ac:dyDescent="0.25">
      <c r="C42" s="152"/>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2"/>
      <c r="D43" s="40" t="s">
        <v>127</v>
      </c>
      <c r="E43" s="40"/>
      <c r="G43" s="40"/>
      <c r="H43" s="40"/>
      <c r="I43" s="38"/>
      <c r="J43" s="38"/>
      <c r="K43" s="38"/>
      <c r="L43" s="40"/>
      <c r="M43" s="40"/>
      <c r="N43" s="35" t="s">
        <v>24</v>
      </c>
      <c r="O43" s="35" t="s">
        <v>5</v>
      </c>
      <c r="P43" s="40"/>
      <c r="Q43" s="4" t="s">
        <v>4</v>
      </c>
      <c r="R43" s="6"/>
      <c r="S43" s="4"/>
      <c r="T43" s="155"/>
      <c r="U43" s="155"/>
      <c r="V43" s="155"/>
      <c r="W43" s="155"/>
      <c r="X43" s="155"/>
      <c r="Y43" s="155"/>
      <c r="Z43" s="155"/>
      <c r="AA43" s="4"/>
      <c r="AB43" s="3"/>
    </row>
    <row r="44" spans="3:28" ht="15.75" x14ac:dyDescent="0.25">
      <c r="C44" s="152"/>
      <c r="D44" s="40" t="s">
        <v>488</v>
      </c>
      <c r="E44" s="40"/>
      <c r="G44" s="40"/>
      <c r="H44" s="40"/>
      <c r="I44" s="38"/>
      <c r="J44" s="38"/>
      <c r="K44" s="38"/>
      <c r="L44" s="40"/>
      <c r="M44" s="40"/>
      <c r="N44" s="4"/>
      <c r="O44" s="4"/>
      <c r="P44" s="40"/>
      <c r="Q44" s="146"/>
      <c r="R44" s="147"/>
      <c r="S44" s="147"/>
      <c r="T44" s="147"/>
      <c r="U44" s="147"/>
      <c r="V44" s="147"/>
      <c r="W44" s="147"/>
      <c r="X44" s="147"/>
      <c r="Y44" s="147"/>
      <c r="Z44" s="148"/>
      <c r="AA44" s="4"/>
      <c r="AB44" s="3"/>
    </row>
    <row r="45" spans="3:28" ht="15.75" x14ac:dyDescent="0.25">
      <c r="C45" s="152"/>
      <c r="D45" s="40" t="s">
        <v>499</v>
      </c>
      <c r="E45" s="40"/>
      <c r="G45" s="40"/>
      <c r="H45" s="40"/>
      <c r="I45" s="38"/>
      <c r="J45" s="38"/>
      <c r="K45" s="38"/>
      <c r="L45" s="40"/>
      <c r="M45" s="40"/>
      <c r="N45" s="4"/>
      <c r="O45" s="4"/>
      <c r="P45" s="40"/>
      <c r="Q45" s="149"/>
      <c r="R45" s="150"/>
      <c r="S45" s="150"/>
      <c r="T45" s="150"/>
      <c r="U45" s="150"/>
      <c r="V45" s="150"/>
      <c r="W45" s="150"/>
      <c r="X45" s="150"/>
      <c r="Y45" s="150"/>
      <c r="Z45" s="151"/>
      <c r="AA45" s="4"/>
      <c r="AB45" s="3"/>
    </row>
    <row r="46" spans="3:28" ht="15.75" x14ac:dyDescent="0.25">
      <c r="C46" s="152"/>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2"/>
      <c r="D47" s="40" t="s">
        <v>489</v>
      </c>
      <c r="E47" s="40"/>
      <c r="G47" s="40"/>
      <c r="H47" s="40"/>
      <c r="I47" s="38"/>
      <c r="J47" s="38"/>
      <c r="K47" s="38"/>
      <c r="L47" s="40"/>
      <c r="M47" s="40"/>
      <c r="N47" s="35" t="s">
        <v>24</v>
      </c>
      <c r="O47" s="35" t="s">
        <v>5</v>
      </c>
      <c r="P47" s="40"/>
      <c r="Q47" s="4" t="s">
        <v>4</v>
      </c>
      <c r="R47" s="6"/>
      <c r="S47" s="4"/>
      <c r="T47" s="155"/>
      <c r="U47" s="155"/>
      <c r="V47" s="155"/>
      <c r="W47" s="155"/>
      <c r="X47" s="155"/>
      <c r="Y47" s="155"/>
      <c r="Z47" s="155"/>
      <c r="AA47" s="4"/>
      <c r="AB47" s="3"/>
    </row>
    <row r="48" spans="3:28" ht="15.75" x14ac:dyDescent="0.25">
      <c r="C48" s="152"/>
      <c r="D48" s="40" t="s">
        <v>500</v>
      </c>
      <c r="E48" s="40"/>
      <c r="G48" s="40"/>
      <c r="H48" s="40"/>
      <c r="I48" s="38"/>
      <c r="J48" s="38"/>
      <c r="K48" s="38"/>
      <c r="L48" s="40"/>
      <c r="M48" s="40"/>
      <c r="N48" s="4"/>
      <c r="O48" s="4"/>
      <c r="P48" s="40"/>
      <c r="Q48" s="146"/>
      <c r="R48" s="147"/>
      <c r="S48" s="147"/>
      <c r="T48" s="147"/>
      <c r="U48" s="147"/>
      <c r="V48" s="147"/>
      <c r="W48" s="147"/>
      <c r="X48" s="147"/>
      <c r="Y48" s="147"/>
      <c r="Z48" s="148"/>
      <c r="AA48" s="4"/>
      <c r="AB48" s="3"/>
    </row>
    <row r="49" spans="3:28" ht="15.75" x14ac:dyDescent="0.25">
      <c r="C49" s="152"/>
      <c r="D49" s="43"/>
      <c r="E49" s="40"/>
      <c r="G49" s="40"/>
      <c r="H49" s="40"/>
      <c r="I49" s="38"/>
      <c r="J49" s="38"/>
      <c r="K49" s="38"/>
      <c r="L49" s="40"/>
      <c r="M49" s="40"/>
      <c r="N49" s="4"/>
      <c r="O49" s="4"/>
      <c r="P49" s="40"/>
      <c r="Q49" s="149"/>
      <c r="R49" s="150"/>
      <c r="S49" s="150"/>
      <c r="T49" s="150"/>
      <c r="U49" s="150"/>
      <c r="V49" s="150"/>
      <c r="W49" s="150"/>
      <c r="X49" s="150"/>
      <c r="Y49" s="150"/>
      <c r="Z49" s="151"/>
      <c r="AA49" s="4"/>
      <c r="AB49" s="3"/>
    </row>
    <row r="50" spans="3:28" ht="15.75" x14ac:dyDescent="0.25">
      <c r="C50" s="152"/>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2"/>
      <c r="D51" s="40" t="s">
        <v>501</v>
      </c>
      <c r="E51" s="40"/>
      <c r="G51" s="40"/>
      <c r="H51" s="40"/>
      <c r="I51" s="38"/>
      <c r="J51" s="38"/>
      <c r="K51" s="38"/>
      <c r="L51" s="40"/>
      <c r="M51" s="40"/>
      <c r="N51" s="35" t="s">
        <v>130</v>
      </c>
      <c r="O51" s="35" t="s">
        <v>5</v>
      </c>
      <c r="P51" s="40"/>
      <c r="Q51" s="4" t="s">
        <v>4</v>
      </c>
      <c r="R51" s="6"/>
      <c r="S51" s="4"/>
      <c r="T51" s="155"/>
      <c r="U51" s="155"/>
      <c r="V51" s="155"/>
      <c r="W51" s="155"/>
      <c r="X51" s="155"/>
      <c r="Y51" s="155"/>
      <c r="Z51" s="155"/>
      <c r="AA51" s="4"/>
      <c r="AB51" s="3"/>
    </row>
    <row r="52" spans="3:28" ht="15.75" x14ac:dyDescent="0.25">
      <c r="C52" s="152"/>
      <c r="D52" s="40"/>
      <c r="E52" s="40"/>
      <c r="G52" s="40"/>
      <c r="H52" s="40"/>
      <c r="I52" s="38"/>
      <c r="J52" s="38"/>
      <c r="K52" s="38"/>
      <c r="L52" s="40"/>
      <c r="M52" s="40"/>
      <c r="N52" s="4"/>
      <c r="O52" s="4"/>
      <c r="P52" s="40"/>
      <c r="Q52" s="146"/>
      <c r="R52" s="147"/>
      <c r="S52" s="147"/>
      <c r="T52" s="147"/>
      <c r="U52" s="147"/>
      <c r="V52" s="147"/>
      <c r="W52" s="147"/>
      <c r="X52" s="147"/>
      <c r="Y52" s="147"/>
      <c r="Z52" s="148"/>
      <c r="AA52" s="4"/>
      <c r="AB52" s="3"/>
    </row>
    <row r="53" spans="3:28" ht="15.75" x14ac:dyDescent="0.25">
      <c r="C53" s="152"/>
      <c r="D53" s="43"/>
      <c r="E53" s="40"/>
      <c r="G53" s="40"/>
      <c r="H53" s="40"/>
      <c r="I53" s="38"/>
      <c r="J53" s="38"/>
      <c r="K53" s="38"/>
      <c r="L53" s="40"/>
      <c r="M53" s="40"/>
      <c r="N53" s="4"/>
      <c r="O53" s="4"/>
      <c r="P53" s="40"/>
      <c r="Q53" s="149"/>
      <c r="R53" s="150"/>
      <c r="S53" s="150"/>
      <c r="T53" s="150"/>
      <c r="U53" s="150"/>
      <c r="V53" s="150"/>
      <c r="W53" s="150"/>
      <c r="X53" s="150"/>
      <c r="Y53" s="150"/>
      <c r="Z53" s="151"/>
      <c r="AA53" s="4"/>
      <c r="AB53" s="3"/>
    </row>
    <row r="54" spans="3:28" ht="15.75" x14ac:dyDescent="0.25">
      <c r="C54" s="152"/>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2"/>
      <c r="D55" s="40" t="s">
        <v>38</v>
      </c>
      <c r="E55" s="40"/>
      <c r="G55" s="40"/>
      <c r="H55" s="40"/>
      <c r="I55" s="38"/>
      <c r="J55" s="38"/>
      <c r="K55" s="38"/>
      <c r="L55" s="40"/>
      <c r="M55" s="40"/>
      <c r="N55" s="35" t="s">
        <v>24</v>
      </c>
      <c r="O55" s="35" t="s">
        <v>5</v>
      </c>
      <c r="P55" s="40"/>
      <c r="Q55" s="4" t="s">
        <v>4</v>
      </c>
      <c r="R55" s="6"/>
      <c r="S55" s="4"/>
      <c r="T55" s="155"/>
      <c r="U55" s="155"/>
      <c r="V55" s="155"/>
      <c r="W55" s="155"/>
      <c r="X55" s="155"/>
      <c r="Y55" s="155"/>
      <c r="Z55" s="155"/>
      <c r="AA55" s="4"/>
      <c r="AB55" s="3"/>
    </row>
    <row r="56" spans="3:28" ht="15.75" x14ac:dyDescent="0.25">
      <c r="C56" s="152"/>
      <c r="D56" s="40" t="s">
        <v>39</v>
      </c>
      <c r="E56" s="40"/>
      <c r="G56" s="40"/>
      <c r="H56" s="40"/>
      <c r="I56" s="38"/>
      <c r="J56" s="38"/>
      <c r="K56" s="38"/>
      <c r="L56" s="40"/>
      <c r="M56" s="40"/>
      <c r="N56" s="4"/>
      <c r="O56" s="4"/>
      <c r="P56" s="40"/>
      <c r="Q56" s="146"/>
      <c r="R56" s="147"/>
      <c r="S56" s="147"/>
      <c r="T56" s="147"/>
      <c r="U56" s="147"/>
      <c r="V56" s="147"/>
      <c r="W56" s="147"/>
      <c r="X56" s="147"/>
      <c r="Y56" s="147"/>
      <c r="Z56" s="148"/>
      <c r="AA56" s="4"/>
      <c r="AB56" s="3"/>
    </row>
    <row r="57" spans="3:28" ht="15.75" x14ac:dyDescent="0.25">
      <c r="C57" s="152"/>
      <c r="D57" s="43"/>
      <c r="E57" s="40"/>
      <c r="G57" s="40"/>
      <c r="H57" s="40"/>
      <c r="I57" s="38"/>
      <c r="J57" s="38"/>
      <c r="K57" s="38"/>
      <c r="L57" s="40"/>
      <c r="M57" s="40"/>
      <c r="N57" s="4"/>
      <c r="O57" s="4"/>
      <c r="P57" s="40"/>
      <c r="Q57" s="149"/>
      <c r="R57" s="150"/>
      <c r="S57" s="150"/>
      <c r="T57" s="150"/>
      <c r="U57" s="150"/>
      <c r="V57" s="150"/>
      <c r="W57" s="150"/>
      <c r="X57" s="150"/>
      <c r="Y57" s="150"/>
      <c r="Z57" s="151"/>
      <c r="AA57" s="4"/>
      <c r="AB57" s="3"/>
    </row>
    <row r="58" spans="3:28" ht="15.75" x14ac:dyDescent="0.25">
      <c r="C58" s="152"/>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2" t="s">
        <v>124</v>
      </c>
      <c r="D60" s="40" t="s">
        <v>152</v>
      </c>
      <c r="E60" s="40"/>
      <c r="G60" s="40"/>
      <c r="H60" s="40"/>
      <c r="I60" s="38"/>
      <c r="J60" s="38"/>
      <c r="K60" s="38"/>
      <c r="L60" s="40"/>
      <c r="M60" s="40"/>
      <c r="N60" s="36" t="s">
        <v>130</v>
      </c>
      <c r="O60" s="35" t="s">
        <v>5</v>
      </c>
      <c r="P60" s="40"/>
      <c r="Q60" s="4" t="s">
        <v>4</v>
      </c>
      <c r="R60" s="6"/>
      <c r="S60" s="4"/>
      <c r="T60" s="155"/>
      <c r="U60" s="155"/>
      <c r="V60" s="155"/>
      <c r="W60" s="155"/>
      <c r="X60" s="155"/>
      <c r="Y60" s="155"/>
      <c r="Z60" s="155"/>
      <c r="AA60" s="4"/>
      <c r="AB60" s="3"/>
    </row>
    <row r="61" spans="3:28" ht="15.75" x14ac:dyDescent="0.25">
      <c r="C61" s="152"/>
      <c r="D61" s="40" t="s">
        <v>491</v>
      </c>
      <c r="E61" s="40"/>
      <c r="G61" s="40"/>
      <c r="H61" s="40"/>
      <c r="I61" s="38"/>
      <c r="J61" s="38"/>
      <c r="K61" s="38"/>
      <c r="L61" s="40"/>
      <c r="M61" s="40"/>
      <c r="N61" s="40"/>
      <c r="O61" s="40"/>
      <c r="P61" s="40"/>
      <c r="Q61" s="146"/>
      <c r="R61" s="147"/>
      <c r="S61" s="147"/>
      <c r="T61" s="147"/>
      <c r="U61" s="147"/>
      <c r="V61" s="147"/>
      <c r="W61" s="147"/>
      <c r="X61" s="147"/>
      <c r="Y61" s="147"/>
      <c r="Z61" s="148"/>
      <c r="AA61" s="4"/>
      <c r="AB61" s="3"/>
    </row>
    <row r="62" spans="3:28" ht="15.75" x14ac:dyDescent="0.25">
      <c r="C62" s="152"/>
      <c r="D62" s="43"/>
      <c r="E62" s="40"/>
      <c r="G62" s="40"/>
      <c r="H62" s="40"/>
      <c r="I62" s="38"/>
      <c r="J62" s="38"/>
      <c r="K62" s="38"/>
      <c r="L62" s="40"/>
      <c r="M62" s="40"/>
      <c r="N62" s="40"/>
      <c r="O62" s="40"/>
      <c r="P62" s="40"/>
      <c r="Q62" s="149"/>
      <c r="R62" s="150"/>
      <c r="S62" s="150"/>
      <c r="T62" s="150"/>
      <c r="U62" s="150"/>
      <c r="V62" s="150"/>
      <c r="W62" s="150"/>
      <c r="X62" s="150"/>
      <c r="Y62" s="150"/>
      <c r="Z62" s="151"/>
      <c r="AA62" s="4"/>
      <c r="AB62" s="3"/>
    </row>
    <row r="63" spans="3:28" ht="15.75" x14ac:dyDescent="0.25">
      <c r="C63" s="152"/>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2"/>
      <c r="D64" s="40" t="s">
        <v>153</v>
      </c>
      <c r="E64" s="40"/>
      <c r="G64" s="40"/>
      <c r="H64" s="40"/>
      <c r="I64" s="38"/>
      <c r="J64" s="38"/>
      <c r="K64" s="38"/>
      <c r="L64" s="40"/>
      <c r="M64" s="40"/>
      <c r="N64" s="35" t="s">
        <v>130</v>
      </c>
      <c r="O64" s="35" t="s">
        <v>5</v>
      </c>
      <c r="P64" s="40"/>
      <c r="Q64" s="4" t="s">
        <v>4</v>
      </c>
      <c r="R64" s="6"/>
      <c r="S64" s="4"/>
      <c r="T64" s="155"/>
      <c r="U64" s="155"/>
      <c r="V64" s="155"/>
      <c r="W64" s="155"/>
      <c r="X64" s="155"/>
      <c r="Y64" s="155"/>
      <c r="Z64" s="155"/>
      <c r="AA64" s="4"/>
      <c r="AB64" s="3"/>
    </row>
    <row r="65" spans="3:28" ht="15.75" x14ac:dyDescent="0.25">
      <c r="C65" s="152"/>
      <c r="D65" s="40" t="s">
        <v>502</v>
      </c>
      <c r="E65" s="40"/>
      <c r="G65" s="40"/>
      <c r="H65" s="40"/>
      <c r="I65" s="38"/>
      <c r="J65" s="38"/>
      <c r="K65" s="38"/>
      <c r="L65" s="40"/>
      <c r="M65" s="40"/>
      <c r="N65" s="4"/>
      <c r="O65" s="4"/>
      <c r="P65" s="40"/>
      <c r="Q65" s="108"/>
      <c r="R65" s="109"/>
      <c r="S65" s="109"/>
      <c r="T65" s="109"/>
      <c r="U65" s="109"/>
      <c r="V65" s="109"/>
      <c r="W65" s="109"/>
      <c r="X65" s="109"/>
      <c r="Y65" s="109"/>
      <c r="Z65" s="110"/>
      <c r="AA65" s="4"/>
      <c r="AB65" s="3"/>
    </row>
    <row r="66" spans="3:28" ht="15.75" x14ac:dyDescent="0.25">
      <c r="C66" s="152"/>
      <c r="D66" s="43"/>
      <c r="E66" s="40"/>
      <c r="G66" s="40"/>
      <c r="H66" s="40"/>
      <c r="I66" s="38"/>
      <c r="J66" s="38"/>
      <c r="K66" s="38"/>
      <c r="L66" s="40"/>
      <c r="M66" s="40"/>
      <c r="N66" s="4"/>
      <c r="O66" s="4"/>
      <c r="P66" s="40"/>
      <c r="Q66" s="111"/>
      <c r="R66" s="112"/>
      <c r="S66" s="112"/>
      <c r="T66" s="112"/>
      <c r="U66" s="112"/>
      <c r="V66" s="112"/>
      <c r="W66" s="112"/>
      <c r="X66" s="112"/>
      <c r="Y66" s="112"/>
      <c r="Z66" s="113"/>
      <c r="AA66" s="4"/>
      <c r="AB66" s="3"/>
    </row>
    <row r="67" spans="3:28" ht="15.75" x14ac:dyDescent="0.25">
      <c r="C67" s="152"/>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2"/>
      <c r="D68" s="40" t="s">
        <v>490</v>
      </c>
      <c r="E68" s="40"/>
      <c r="G68" s="40"/>
      <c r="H68" s="40"/>
      <c r="I68" s="38"/>
      <c r="J68" s="38"/>
      <c r="K68" s="38"/>
      <c r="L68" s="40"/>
      <c r="M68" s="40"/>
      <c r="N68" s="35" t="s">
        <v>130</v>
      </c>
      <c r="O68" s="35" t="s">
        <v>5</v>
      </c>
      <c r="P68" s="40"/>
      <c r="Q68" s="4" t="s">
        <v>4</v>
      </c>
      <c r="R68" s="6"/>
      <c r="S68" s="4"/>
      <c r="T68" s="155"/>
      <c r="U68" s="155"/>
      <c r="V68" s="155"/>
      <c r="W68" s="155"/>
      <c r="X68" s="155"/>
      <c r="Y68" s="155"/>
      <c r="Z68" s="155"/>
      <c r="AA68" s="4"/>
      <c r="AB68" s="3"/>
    </row>
    <row r="69" spans="3:28" ht="15.75" x14ac:dyDescent="0.25">
      <c r="C69" s="152"/>
      <c r="D69" s="40"/>
      <c r="E69" s="40"/>
      <c r="G69" s="40"/>
      <c r="H69" s="40"/>
      <c r="I69" s="38"/>
      <c r="J69" s="38"/>
      <c r="K69" s="38"/>
      <c r="L69" s="40"/>
      <c r="M69" s="40"/>
      <c r="N69" s="4"/>
      <c r="O69" s="4"/>
      <c r="P69" s="40"/>
      <c r="Q69" s="146"/>
      <c r="R69" s="147"/>
      <c r="S69" s="147"/>
      <c r="T69" s="147"/>
      <c r="U69" s="147"/>
      <c r="V69" s="147"/>
      <c r="W69" s="147"/>
      <c r="X69" s="147"/>
      <c r="Y69" s="147"/>
      <c r="Z69" s="148"/>
      <c r="AA69" s="4"/>
      <c r="AB69" s="3"/>
    </row>
    <row r="70" spans="3:28" ht="15.75" x14ac:dyDescent="0.25">
      <c r="C70" s="152"/>
      <c r="D70" s="43"/>
      <c r="E70" s="40"/>
      <c r="G70" s="40"/>
      <c r="H70" s="40"/>
      <c r="I70" s="38"/>
      <c r="J70" s="38"/>
      <c r="K70" s="38"/>
      <c r="L70" s="40"/>
      <c r="M70" s="40"/>
      <c r="N70" s="40"/>
      <c r="O70" s="40"/>
      <c r="P70" s="40"/>
      <c r="Q70" s="149"/>
      <c r="R70" s="150"/>
      <c r="S70" s="150"/>
      <c r="T70" s="150"/>
      <c r="U70" s="150"/>
      <c r="V70" s="150"/>
      <c r="W70" s="150"/>
      <c r="X70" s="150"/>
      <c r="Y70" s="150"/>
      <c r="Z70" s="151"/>
      <c r="AA70" s="4"/>
      <c r="AB70" s="3"/>
    </row>
    <row r="71" spans="3:28" ht="15.75" x14ac:dyDescent="0.25">
      <c r="C71" s="152"/>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56"/>
      <c r="E73" s="156"/>
      <c r="F73" s="156"/>
      <c r="G73" s="156"/>
      <c r="H73" s="156"/>
      <c r="I73" s="156"/>
      <c r="J73" s="156"/>
      <c r="K73" s="156"/>
      <c r="L73" s="156"/>
      <c r="M73" s="156"/>
      <c r="N73" s="156"/>
      <c r="O73" s="156"/>
      <c r="P73" s="156"/>
      <c r="Q73" s="156"/>
      <c r="R73" s="156"/>
      <c r="S73" s="156"/>
      <c r="T73" s="156"/>
      <c r="U73" s="156"/>
      <c r="V73" s="156"/>
      <c r="W73" s="156"/>
      <c r="X73" s="156"/>
      <c r="Y73" s="156"/>
      <c r="Z73" s="156"/>
      <c r="AA73" s="4"/>
      <c r="AB73" s="3"/>
    </row>
    <row r="74" spans="3:28" ht="15.75" x14ac:dyDescent="0.25">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4"/>
      <c r="AB74" s="3"/>
    </row>
    <row r="75" spans="3:28" ht="15.75" x14ac:dyDescent="0.25">
      <c r="C75" s="40"/>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4"/>
      <c r="AB75" s="3"/>
    </row>
    <row r="76" spans="3:28" ht="15.75" x14ac:dyDescent="0.25">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40"/>
      <c r="AB76" s="3"/>
    </row>
    <row r="77" spans="3:28" ht="15.75" x14ac:dyDescent="0.25">
      <c r="Z77" s="16"/>
      <c r="AA77" s="16"/>
      <c r="AB77" s="3"/>
    </row>
    <row r="78" spans="3:28" x14ac:dyDescent="0.2">
      <c r="C78" s="81" t="s">
        <v>21</v>
      </c>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5"/>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106"/>
      <c r="H80" s="107"/>
      <c r="I80" s="107" t="s">
        <v>514</v>
      </c>
      <c r="J80" s="107"/>
      <c r="K80" s="107"/>
      <c r="L80" s="107"/>
      <c r="N80" s="15" t="s">
        <v>0</v>
      </c>
      <c r="O80" s="15"/>
      <c r="P80" s="15"/>
      <c r="Q80" s="159">
        <v>43305</v>
      </c>
      <c r="R80" s="159"/>
      <c r="T80" s="40"/>
      <c r="AA80" s="9"/>
    </row>
    <row r="81" spans="3:27" x14ac:dyDescent="0.2">
      <c r="C81" s="8"/>
      <c r="AA81" s="9"/>
    </row>
    <row r="82" spans="3:27" ht="13.5" thickBot="1" x14ac:dyDescent="0.25">
      <c r="C82" s="8"/>
      <c r="D82" s="4" t="s">
        <v>18</v>
      </c>
      <c r="E82" s="6"/>
      <c r="F82" s="21"/>
      <c r="G82" s="21"/>
      <c r="H82" s="106"/>
      <c r="I82" s="107"/>
      <c r="J82" s="106" t="s">
        <v>518</v>
      </c>
      <c r="K82" s="107"/>
      <c r="L82" s="107"/>
      <c r="M82" s="107"/>
      <c r="P82" s="4" t="s">
        <v>23</v>
      </c>
      <c r="Q82" s="6"/>
      <c r="U82" s="39" t="s">
        <v>2</v>
      </c>
      <c r="X82" s="6"/>
      <c r="Y82" s="21"/>
      <c r="Z82" s="21"/>
      <c r="AA82" s="9"/>
    </row>
    <row r="83" spans="3:27" x14ac:dyDescent="0.2">
      <c r="C83" s="8"/>
      <c r="Y83" s="103"/>
      <c r="Z83" s="103"/>
      <c r="AA83" s="9"/>
    </row>
    <row r="84" spans="3:27" ht="13.5" thickBot="1" x14ac:dyDescent="0.25">
      <c r="C84" s="8"/>
      <c r="D84" s="40" t="s">
        <v>7</v>
      </c>
      <c r="E84" s="6"/>
      <c r="F84" s="6"/>
      <c r="G84" s="6"/>
      <c r="H84" s="106"/>
      <c r="I84" s="107"/>
      <c r="J84" s="107"/>
      <c r="K84" s="107"/>
      <c r="L84" s="107"/>
      <c r="M84" s="21"/>
      <c r="N84" s="107"/>
      <c r="O84" s="107"/>
      <c r="P84" s="107"/>
      <c r="Q84" s="107"/>
      <c r="R84" s="107"/>
      <c r="S84" s="21"/>
      <c r="T84" s="107"/>
      <c r="U84" s="107"/>
      <c r="V84" s="107"/>
      <c r="W84" s="107"/>
      <c r="X84" s="107"/>
      <c r="AA84" s="9"/>
    </row>
    <row r="85" spans="3:27" x14ac:dyDescent="0.2">
      <c r="C85" s="8"/>
      <c r="D85" s="40"/>
      <c r="E85" s="6"/>
      <c r="F85" s="6"/>
      <c r="G85" s="6"/>
      <c r="H85" s="103"/>
      <c r="I85" s="103"/>
      <c r="J85" s="103"/>
      <c r="K85" s="103"/>
      <c r="L85" s="6"/>
      <c r="M85" s="103"/>
      <c r="N85" s="103"/>
      <c r="O85" s="103"/>
      <c r="P85" s="103"/>
      <c r="Q85" s="6"/>
      <c r="R85" s="103"/>
      <c r="S85" s="103"/>
      <c r="T85" s="103"/>
      <c r="U85" s="103"/>
      <c r="V85" s="6"/>
      <c r="W85" s="103"/>
      <c r="X85" s="103"/>
      <c r="Y85" s="21"/>
      <c r="Z85" s="21"/>
      <c r="AA85" s="9"/>
    </row>
    <row r="86" spans="3:27" ht="13.5" thickBot="1" x14ac:dyDescent="0.25">
      <c r="C86" s="8"/>
      <c r="H86" s="107"/>
      <c r="I86" s="107"/>
      <c r="J86" s="107"/>
      <c r="K86" s="107"/>
      <c r="L86" s="107"/>
      <c r="M86" s="21"/>
      <c r="N86" s="107"/>
      <c r="O86" s="107"/>
      <c r="P86" s="107"/>
      <c r="Q86" s="107"/>
      <c r="R86" s="107"/>
      <c r="S86" s="21"/>
      <c r="T86" s="107"/>
      <c r="U86" s="107"/>
      <c r="V86" s="107"/>
      <c r="W86" s="107"/>
      <c r="X86" s="107"/>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7">
    <mergeCell ref="G6:M6"/>
    <mergeCell ref="X1:Y1"/>
    <mergeCell ref="Z1:AA1"/>
    <mergeCell ref="C2:AA2"/>
    <mergeCell ref="G4:O4"/>
    <mergeCell ref="U4:AA4"/>
    <mergeCell ref="T43:Z43"/>
    <mergeCell ref="Q44:Z45"/>
    <mergeCell ref="T47:Z47"/>
    <mergeCell ref="Q48:Z49"/>
    <mergeCell ref="C10:C28"/>
    <mergeCell ref="Q11:Z12"/>
    <mergeCell ref="Q15:Z16"/>
    <mergeCell ref="Q19:Z20"/>
    <mergeCell ref="Q23:Z24"/>
    <mergeCell ref="Q27:Z28"/>
    <mergeCell ref="T51:Z51"/>
    <mergeCell ref="Q52:Z53"/>
    <mergeCell ref="T55:Z55"/>
    <mergeCell ref="Q56:Z57"/>
    <mergeCell ref="C60:C71"/>
    <mergeCell ref="T60:Z60"/>
    <mergeCell ref="Q61:Z62"/>
    <mergeCell ref="T64:Z64"/>
    <mergeCell ref="T68:Z68"/>
    <mergeCell ref="Q69:Z70"/>
    <mergeCell ref="C30:C58"/>
    <mergeCell ref="T30:Z30"/>
    <mergeCell ref="Q31:Z32"/>
    <mergeCell ref="T34:Z34"/>
    <mergeCell ref="T39:Z39"/>
    <mergeCell ref="Q40:Z41"/>
    <mergeCell ref="D73:Z73"/>
    <mergeCell ref="D74:Z74"/>
    <mergeCell ref="D75:Z75"/>
    <mergeCell ref="D76:Z76"/>
    <mergeCell ref="Q80:R80"/>
  </mergeCells>
  <conditionalFormatting sqref="N1:N5 N7:N28 N30:N32 N34:N59 N92:N1048576 O88 N64:N87">
    <cfRule type="cellIs" dxfId="23" priority="7" operator="equal">
      <formula>"N/A"</formula>
    </cfRule>
    <cfRule type="cellIs" dxfId="22" priority="8" operator="equal">
      <formula>"X"</formula>
    </cfRule>
  </conditionalFormatting>
  <conditionalFormatting sqref="O1:O5 O7:O28 O30:O32 O34:O59 O92:O1048576 P88 O64:O87">
    <cfRule type="cellIs" dxfId="21" priority="5" operator="equal">
      <formula>"N/A"</formula>
    </cfRule>
    <cfRule type="cellIs" dxfId="20" priority="6" operator="equal">
      <formula>"X"</formula>
    </cfRule>
  </conditionalFormatting>
  <conditionalFormatting sqref="N60:N63">
    <cfRule type="cellIs" dxfId="19" priority="3" operator="equal">
      <formula>"N/A"</formula>
    </cfRule>
    <cfRule type="cellIs" dxfId="18" priority="4" operator="equal">
      <formula>"X"</formula>
    </cfRule>
  </conditionalFormatting>
  <conditionalFormatting sqref="O60:O63">
    <cfRule type="cellIs" dxfId="17" priority="1" operator="equal">
      <formula>"N/A"</formula>
    </cfRule>
    <cfRule type="cellIs" dxfId="16" priority="2" operator="equal">
      <formula>"X"</formula>
    </cfRule>
  </conditionalFormatting>
  <dataValidations count="3">
    <dataValidation showInputMessage="1" showErrorMessage="1" sqref="A4:AA7" xr:uid="{2CB42901-847A-4BDC-A2BB-1BDE9B6A3B89}"/>
    <dataValidation type="list" showInputMessage="1" showErrorMessage="1" sqref="U82" xr:uid="{A7A762B2-2709-42FB-904B-B15870C0FB79}">
      <formula1>Approved</formula1>
    </dataValidation>
    <dataValidation type="list" showInputMessage="1" showErrorMessage="1" sqref="N10:O10 N22:O22 N26:O27 N18:O18 N14:O14 N51:O51 N47:O47 N43:O43 N30:O30 N34:O34 N39:O39 N55:O55 N64:O64 N68:O68 N60:O60" xr:uid="{6FF8061A-3529-4B5D-9D83-E750F14650EB}">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208"/>
  <sheetViews>
    <sheetView topLeftCell="A122" workbookViewId="0">
      <selection activeCell="A126" sqref="A126"/>
    </sheetView>
  </sheetViews>
  <sheetFormatPr defaultRowHeight="12.75" x14ac:dyDescent="0.2"/>
  <cols>
    <col min="1" max="1" width="52" bestFit="1" customWidth="1"/>
  </cols>
  <sheetData>
    <row r="1" spans="1:3" x14ac:dyDescent="0.2">
      <c r="A1" t="s">
        <v>362</v>
      </c>
      <c r="C1" s="5" t="s">
        <v>129</v>
      </c>
    </row>
    <row r="2" spans="1:3" x14ac:dyDescent="0.2">
      <c r="A2" t="s">
        <v>363</v>
      </c>
    </row>
    <row r="3" spans="1:3" x14ac:dyDescent="0.2">
      <c r="A3" t="s">
        <v>364</v>
      </c>
    </row>
    <row r="4" spans="1:3" x14ac:dyDescent="0.2">
      <c r="A4" t="s">
        <v>365</v>
      </c>
    </row>
    <row r="5" spans="1:3" x14ac:dyDescent="0.2">
      <c r="A5" t="s">
        <v>40</v>
      </c>
    </row>
    <row r="6" spans="1:3" x14ac:dyDescent="0.2">
      <c r="A6" t="s">
        <v>366</v>
      </c>
    </row>
    <row r="7" spans="1:3" x14ac:dyDescent="0.2">
      <c r="A7" t="s">
        <v>367</v>
      </c>
    </row>
    <row r="8" spans="1:3" x14ac:dyDescent="0.2">
      <c r="A8" t="s">
        <v>368</v>
      </c>
    </row>
    <row r="9" spans="1:3" x14ac:dyDescent="0.2">
      <c r="A9" t="s">
        <v>369</v>
      </c>
    </row>
    <row r="10" spans="1:3" x14ac:dyDescent="0.2">
      <c r="A10" t="s">
        <v>370</v>
      </c>
    </row>
    <row r="11" spans="1:3" x14ac:dyDescent="0.2">
      <c r="A11" t="s">
        <v>371</v>
      </c>
    </row>
    <row r="12" spans="1:3" x14ac:dyDescent="0.2">
      <c r="A12" t="s">
        <v>41</v>
      </c>
    </row>
    <row r="13" spans="1:3" x14ac:dyDescent="0.2">
      <c r="A13" t="s">
        <v>42</v>
      </c>
    </row>
    <row r="14" spans="1:3" x14ac:dyDescent="0.2">
      <c r="A14" t="s">
        <v>372</v>
      </c>
    </row>
    <row r="15" spans="1:3" x14ac:dyDescent="0.2">
      <c r="A15" t="s">
        <v>43</v>
      </c>
    </row>
    <row r="16" spans="1:3" x14ac:dyDescent="0.2">
      <c r="A16" t="s">
        <v>44</v>
      </c>
    </row>
    <row r="17" spans="1:1" x14ac:dyDescent="0.2">
      <c r="A17" t="s">
        <v>45</v>
      </c>
    </row>
    <row r="18" spans="1:1" x14ac:dyDescent="0.2">
      <c r="A18" t="s">
        <v>373</v>
      </c>
    </row>
    <row r="19" spans="1:1" x14ac:dyDescent="0.2">
      <c r="A19" t="s">
        <v>374</v>
      </c>
    </row>
    <row r="20" spans="1:1" x14ac:dyDescent="0.2">
      <c r="A20" t="s">
        <v>46</v>
      </c>
    </row>
    <row r="21" spans="1:1" x14ac:dyDescent="0.2">
      <c r="A21" t="s">
        <v>46</v>
      </c>
    </row>
    <row r="22" spans="1:1" x14ac:dyDescent="0.2">
      <c r="A22" t="s">
        <v>47</v>
      </c>
    </row>
    <row r="23" spans="1:1" x14ac:dyDescent="0.2">
      <c r="A23" t="s">
        <v>375</v>
      </c>
    </row>
    <row r="24" spans="1:1" x14ac:dyDescent="0.2">
      <c r="A24" t="s">
        <v>376</v>
      </c>
    </row>
    <row r="25" spans="1:1" x14ac:dyDescent="0.2">
      <c r="A25" t="s">
        <v>377</v>
      </c>
    </row>
    <row r="26" spans="1:1" x14ac:dyDescent="0.2">
      <c r="A26" t="s">
        <v>378</v>
      </c>
    </row>
    <row r="27" spans="1:1" x14ac:dyDescent="0.2">
      <c r="A27" t="s">
        <v>379</v>
      </c>
    </row>
    <row r="28" spans="1:1" x14ac:dyDescent="0.2">
      <c r="A28" t="s">
        <v>48</v>
      </c>
    </row>
    <row r="29" spans="1:1" x14ac:dyDescent="0.2">
      <c r="A29" t="s">
        <v>49</v>
      </c>
    </row>
    <row r="30" spans="1:1" x14ac:dyDescent="0.2">
      <c r="A30" t="s">
        <v>50</v>
      </c>
    </row>
    <row r="31" spans="1:1" x14ac:dyDescent="0.2">
      <c r="A31" t="s">
        <v>380</v>
      </c>
    </row>
    <row r="32" spans="1:1" x14ac:dyDescent="0.2">
      <c r="A32" t="s">
        <v>381</v>
      </c>
    </row>
    <row r="33" spans="1:1" x14ac:dyDescent="0.2">
      <c r="A33" t="s">
        <v>382</v>
      </c>
    </row>
    <row r="34" spans="1:1" x14ac:dyDescent="0.2">
      <c r="A34" t="s">
        <v>51</v>
      </c>
    </row>
    <row r="35" spans="1:1" x14ac:dyDescent="0.2">
      <c r="A35" t="s">
        <v>383</v>
      </c>
    </row>
    <row r="36" spans="1:1" x14ac:dyDescent="0.2">
      <c r="A36" t="s">
        <v>52</v>
      </c>
    </row>
    <row r="37" spans="1:1" x14ac:dyDescent="0.2">
      <c r="A37" t="s">
        <v>53</v>
      </c>
    </row>
    <row r="38" spans="1:1" x14ac:dyDescent="0.2">
      <c r="A38" t="s">
        <v>54</v>
      </c>
    </row>
    <row r="39" spans="1:1" x14ac:dyDescent="0.2">
      <c r="A39" t="s">
        <v>384</v>
      </c>
    </row>
    <row r="40" spans="1:1" x14ac:dyDescent="0.2">
      <c r="A40" t="s">
        <v>55</v>
      </c>
    </row>
    <row r="41" spans="1:1" x14ac:dyDescent="0.2">
      <c r="A41" t="s">
        <v>56</v>
      </c>
    </row>
    <row r="42" spans="1:1" x14ac:dyDescent="0.2">
      <c r="A42" t="s">
        <v>385</v>
      </c>
    </row>
    <row r="43" spans="1:1" x14ac:dyDescent="0.2">
      <c r="A43" t="s">
        <v>386</v>
      </c>
    </row>
    <row r="44" spans="1:1" x14ac:dyDescent="0.2">
      <c r="A44" t="s">
        <v>57</v>
      </c>
    </row>
    <row r="45" spans="1:1" x14ac:dyDescent="0.2">
      <c r="A45" t="s">
        <v>58</v>
      </c>
    </row>
    <row r="46" spans="1:1" x14ac:dyDescent="0.2">
      <c r="A46" t="s">
        <v>59</v>
      </c>
    </row>
    <row r="47" spans="1:1" x14ac:dyDescent="0.2">
      <c r="A47" t="s">
        <v>387</v>
      </c>
    </row>
    <row r="48" spans="1:1" x14ac:dyDescent="0.2">
      <c r="A48" t="s">
        <v>388</v>
      </c>
    </row>
    <row r="49" spans="1:1" x14ac:dyDescent="0.2">
      <c r="A49" t="s">
        <v>60</v>
      </c>
    </row>
    <row r="50" spans="1:1" x14ac:dyDescent="0.2">
      <c r="A50" t="s">
        <v>61</v>
      </c>
    </row>
    <row r="51" spans="1:1" x14ac:dyDescent="0.2">
      <c r="A51" t="s">
        <v>62</v>
      </c>
    </row>
    <row r="52" spans="1:1" x14ac:dyDescent="0.2">
      <c r="A52" t="s">
        <v>389</v>
      </c>
    </row>
    <row r="53" spans="1:1" x14ac:dyDescent="0.2">
      <c r="A53" t="s">
        <v>390</v>
      </c>
    </row>
    <row r="54" spans="1:1" x14ac:dyDescent="0.2">
      <c r="A54" t="s">
        <v>391</v>
      </c>
    </row>
    <row r="55" spans="1:1" x14ac:dyDescent="0.2">
      <c r="A55" t="s">
        <v>63</v>
      </c>
    </row>
    <row r="56" spans="1:1" x14ac:dyDescent="0.2">
      <c r="A56" t="s">
        <v>392</v>
      </c>
    </row>
    <row r="57" spans="1:1" x14ac:dyDescent="0.2">
      <c r="A57" t="s">
        <v>393</v>
      </c>
    </row>
    <row r="58" spans="1:1" x14ac:dyDescent="0.2">
      <c r="A58" t="s">
        <v>394</v>
      </c>
    </row>
    <row r="59" spans="1:1" x14ac:dyDescent="0.2">
      <c r="A59" t="s">
        <v>395</v>
      </c>
    </row>
    <row r="60" spans="1:1" x14ac:dyDescent="0.2">
      <c r="A60" t="s">
        <v>396</v>
      </c>
    </row>
    <row r="61" spans="1:1" x14ac:dyDescent="0.2">
      <c r="A61" t="s">
        <v>397</v>
      </c>
    </row>
    <row r="62" spans="1:1" x14ac:dyDescent="0.2">
      <c r="A62" t="s">
        <v>398</v>
      </c>
    </row>
    <row r="63" spans="1:1" x14ac:dyDescent="0.2">
      <c r="A63" t="s">
        <v>64</v>
      </c>
    </row>
    <row r="64" spans="1:1" x14ac:dyDescent="0.2">
      <c r="A64" t="s">
        <v>65</v>
      </c>
    </row>
    <row r="65" spans="1:1" x14ac:dyDescent="0.2">
      <c r="A65" t="s">
        <v>66</v>
      </c>
    </row>
    <row r="66" spans="1:1" x14ac:dyDescent="0.2">
      <c r="A66" t="s">
        <v>399</v>
      </c>
    </row>
    <row r="67" spans="1:1" x14ac:dyDescent="0.2">
      <c r="A67" t="s">
        <v>400</v>
      </c>
    </row>
    <row r="68" spans="1:1" x14ac:dyDescent="0.2">
      <c r="A68" t="s">
        <v>67</v>
      </c>
    </row>
    <row r="69" spans="1:1" x14ac:dyDescent="0.2">
      <c r="A69" t="s">
        <v>68</v>
      </c>
    </row>
    <row r="70" spans="1:1" x14ac:dyDescent="0.2">
      <c r="A70" t="s">
        <v>69</v>
      </c>
    </row>
    <row r="71" spans="1:1" x14ac:dyDescent="0.2">
      <c r="A71" t="s">
        <v>70</v>
      </c>
    </row>
    <row r="72" spans="1:1" x14ac:dyDescent="0.2">
      <c r="A72" t="s">
        <v>401</v>
      </c>
    </row>
    <row r="73" spans="1:1" x14ac:dyDescent="0.2">
      <c r="A73" t="s">
        <v>402</v>
      </c>
    </row>
    <row r="74" spans="1:1" x14ac:dyDescent="0.2">
      <c r="A74" t="s">
        <v>71</v>
      </c>
    </row>
    <row r="75" spans="1:1" x14ac:dyDescent="0.2">
      <c r="A75" t="s">
        <v>403</v>
      </c>
    </row>
    <row r="76" spans="1:1" x14ac:dyDescent="0.2">
      <c r="A76" t="s">
        <v>404</v>
      </c>
    </row>
    <row r="77" spans="1:1" x14ac:dyDescent="0.2">
      <c r="A77" t="s">
        <v>405</v>
      </c>
    </row>
    <row r="78" spans="1:1" x14ac:dyDescent="0.2">
      <c r="A78" t="s">
        <v>406</v>
      </c>
    </row>
    <row r="79" spans="1:1" x14ac:dyDescent="0.2">
      <c r="A79" t="s">
        <v>72</v>
      </c>
    </row>
    <row r="80" spans="1:1" x14ac:dyDescent="0.2">
      <c r="A80" t="s">
        <v>407</v>
      </c>
    </row>
    <row r="81" spans="1:1" x14ac:dyDescent="0.2">
      <c r="A81" t="s">
        <v>408</v>
      </c>
    </row>
    <row r="82" spans="1:1" x14ac:dyDescent="0.2">
      <c r="A82" t="s">
        <v>409</v>
      </c>
    </row>
    <row r="83" spans="1:1" x14ac:dyDescent="0.2">
      <c r="A83" t="s">
        <v>410</v>
      </c>
    </row>
    <row r="84" spans="1:1" x14ac:dyDescent="0.2">
      <c r="A84" t="s">
        <v>411</v>
      </c>
    </row>
    <row r="85" spans="1:1" x14ac:dyDescent="0.2">
      <c r="A85" t="s">
        <v>412</v>
      </c>
    </row>
    <row r="86" spans="1:1" x14ac:dyDescent="0.2">
      <c r="A86" t="s">
        <v>413</v>
      </c>
    </row>
    <row r="87" spans="1:1" x14ac:dyDescent="0.2">
      <c r="A87" t="s">
        <v>414</v>
      </c>
    </row>
    <row r="88" spans="1:1" x14ac:dyDescent="0.2">
      <c r="A88" t="s">
        <v>415</v>
      </c>
    </row>
    <row r="89" spans="1:1" x14ac:dyDescent="0.2">
      <c r="A89" t="s">
        <v>416</v>
      </c>
    </row>
    <row r="90" spans="1:1" x14ac:dyDescent="0.2">
      <c r="A90" t="s">
        <v>416</v>
      </c>
    </row>
    <row r="91" spans="1:1" x14ac:dyDescent="0.2">
      <c r="A91" t="s">
        <v>417</v>
      </c>
    </row>
    <row r="92" spans="1:1" x14ac:dyDescent="0.2">
      <c r="A92" t="s">
        <v>417</v>
      </c>
    </row>
    <row r="93" spans="1:1" x14ac:dyDescent="0.2">
      <c r="A93" t="s">
        <v>418</v>
      </c>
    </row>
    <row r="94" spans="1:1" x14ac:dyDescent="0.2">
      <c r="A94" t="s">
        <v>73</v>
      </c>
    </row>
    <row r="95" spans="1:1" x14ac:dyDescent="0.2">
      <c r="A95" t="s">
        <v>74</v>
      </c>
    </row>
    <row r="96" spans="1:1" x14ac:dyDescent="0.2">
      <c r="A96" t="s">
        <v>419</v>
      </c>
    </row>
    <row r="97" spans="1:1" x14ac:dyDescent="0.2">
      <c r="A97" t="s">
        <v>420</v>
      </c>
    </row>
    <row r="98" spans="1:1" x14ac:dyDescent="0.2">
      <c r="A98" t="s">
        <v>421</v>
      </c>
    </row>
    <row r="99" spans="1:1" x14ac:dyDescent="0.2">
      <c r="A99" t="s">
        <v>422</v>
      </c>
    </row>
    <row r="100" spans="1:1" x14ac:dyDescent="0.2">
      <c r="A100" t="s">
        <v>423</v>
      </c>
    </row>
    <row r="101" spans="1:1" x14ac:dyDescent="0.2">
      <c r="A101" t="s">
        <v>424</v>
      </c>
    </row>
    <row r="102" spans="1:1" x14ac:dyDescent="0.2">
      <c r="A102" t="s">
        <v>425</v>
      </c>
    </row>
    <row r="103" spans="1:1" x14ac:dyDescent="0.2">
      <c r="A103" t="s">
        <v>426</v>
      </c>
    </row>
    <row r="104" spans="1:1" x14ac:dyDescent="0.2">
      <c r="A104" t="s">
        <v>75</v>
      </c>
    </row>
    <row r="105" spans="1:1" x14ac:dyDescent="0.2">
      <c r="A105" t="s">
        <v>427</v>
      </c>
    </row>
    <row r="106" spans="1:1" x14ac:dyDescent="0.2">
      <c r="A106" t="s">
        <v>428</v>
      </c>
    </row>
    <row r="107" spans="1:1" x14ac:dyDescent="0.2">
      <c r="A107" t="s">
        <v>429</v>
      </c>
    </row>
    <row r="108" spans="1:1" x14ac:dyDescent="0.2">
      <c r="A108" t="s">
        <v>76</v>
      </c>
    </row>
    <row r="109" spans="1:1" x14ac:dyDescent="0.2">
      <c r="A109" t="s">
        <v>77</v>
      </c>
    </row>
    <row r="110" spans="1:1" x14ac:dyDescent="0.2">
      <c r="A110" t="s">
        <v>78</v>
      </c>
    </row>
    <row r="111" spans="1:1" x14ac:dyDescent="0.2">
      <c r="A111" t="s">
        <v>430</v>
      </c>
    </row>
    <row r="112" spans="1:1" x14ac:dyDescent="0.2">
      <c r="A112" t="s">
        <v>431</v>
      </c>
    </row>
    <row r="113" spans="1:1" x14ac:dyDescent="0.2">
      <c r="A113" t="s">
        <v>432</v>
      </c>
    </row>
    <row r="114" spans="1:1" x14ac:dyDescent="0.2">
      <c r="A114" t="s">
        <v>433</v>
      </c>
    </row>
    <row r="115" spans="1:1" x14ac:dyDescent="0.2">
      <c r="A115" t="s">
        <v>434</v>
      </c>
    </row>
    <row r="116" spans="1:1" x14ac:dyDescent="0.2">
      <c r="A116" t="s">
        <v>435</v>
      </c>
    </row>
    <row r="117" spans="1:1" x14ac:dyDescent="0.2">
      <c r="A117" t="s">
        <v>79</v>
      </c>
    </row>
    <row r="118" spans="1:1" x14ac:dyDescent="0.2">
      <c r="A118" t="s">
        <v>80</v>
      </c>
    </row>
    <row r="119" spans="1:1" x14ac:dyDescent="0.2">
      <c r="A119" t="s">
        <v>81</v>
      </c>
    </row>
    <row r="120" spans="1:1" x14ac:dyDescent="0.2">
      <c r="A120" t="s">
        <v>82</v>
      </c>
    </row>
    <row r="121" spans="1:1" x14ac:dyDescent="0.2">
      <c r="A121" t="s">
        <v>436</v>
      </c>
    </row>
    <row r="122" spans="1:1" x14ac:dyDescent="0.2">
      <c r="A122" t="s">
        <v>83</v>
      </c>
    </row>
    <row r="123" spans="1:1" x14ac:dyDescent="0.2">
      <c r="A123" t="s">
        <v>84</v>
      </c>
    </row>
    <row r="124" spans="1:1" x14ac:dyDescent="0.2">
      <c r="A124" t="s">
        <v>437</v>
      </c>
    </row>
    <row r="125" spans="1:1" x14ac:dyDescent="0.2">
      <c r="A125" t="s">
        <v>438</v>
      </c>
    </row>
    <row r="126" spans="1:1" x14ac:dyDescent="0.2">
      <c r="A126" t="s">
        <v>439</v>
      </c>
    </row>
    <row r="127" spans="1:1" x14ac:dyDescent="0.2">
      <c r="A127" t="s">
        <v>440</v>
      </c>
    </row>
    <row r="128" spans="1:1" x14ac:dyDescent="0.2">
      <c r="A128" t="s">
        <v>441</v>
      </c>
    </row>
    <row r="129" spans="1:1" x14ac:dyDescent="0.2">
      <c r="A129" t="s">
        <v>442</v>
      </c>
    </row>
    <row r="130" spans="1:1" x14ac:dyDescent="0.2">
      <c r="A130" t="s">
        <v>443</v>
      </c>
    </row>
    <row r="131" spans="1:1" x14ac:dyDescent="0.2">
      <c r="A131" t="s">
        <v>85</v>
      </c>
    </row>
    <row r="132" spans="1:1" x14ac:dyDescent="0.2">
      <c r="A132" t="s">
        <v>86</v>
      </c>
    </row>
    <row r="133" spans="1:1" x14ac:dyDescent="0.2">
      <c r="A133" t="s">
        <v>444</v>
      </c>
    </row>
    <row r="134" spans="1:1" x14ac:dyDescent="0.2">
      <c r="A134" t="s">
        <v>87</v>
      </c>
    </row>
    <row r="135" spans="1:1" x14ac:dyDescent="0.2">
      <c r="A135" t="s">
        <v>88</v>
      </c>
    </row>
    <row r="136" spans="1:1" x14ac:dyDescent="0.2">
      <c r="A136" t="s">
        <v>445</v>
      </c>
    </row>
    <row r="137" spans="1:1" x14ac:dyDescent="0.2">
      <c r="A137" t="s">
        <v>446</v>
      </c>
    </row>
    <row r="138" spans="1:1" x14ac:dyDescent="0.2">
      <c r="A138" t="s">
        <v>447</v>
      </c>
    </row>
    <row r="139" spans="1:1" x14ac:dyDescent="0.2">
      <c r="A139" t="s">
        <v>448</v>
      </c>
    </row>
    <row r="140" spans="1:1" x14ac:dyDescent="0.2">
      <c r="A140" t="s">
        <v>89</v>
      </c>
    </row>
    <row r="141" spans="1:1" x14ac:dyDescent="0.2">
      <c r="A141" t="s">
        <v>449</v>
      </c>
    </row>
    <row r="142" spans="1:1" x14ac:dyDescent="0.2">
      <c r="A142" t="s">
        <v>90</v>
      </c>
    </row>
    <row r="143" spans="1:1" x14ac:dyDescent="0.2">
      <c r="A143" t="s">
        <v>91</v>
      </c>
    </row>
    <row r="144" spans="1:1" x14ac:dyDescent="0.2">
      <c r="A144" t="s">
        <v>92</v>
      </c>
    </row>
    <row r="145" spans="1:1" x14ac:dyDescent="0.2">
      <c r="A145" t="s">
        <v>93</v>
      </c>
    </row>
    <row r="146" spans="1:1" x14ac:dyDescent="0.2">
      <c r="A146" t="s">
        <v>94</v>
      </c>
    </row>
    <row r="147" spans="1:1" x14ac:dyDescent="0.2">
      <c r="A147" t="s">
        <v>450</v>
      </c>
    </row>
    <row r="148" spans="1:1" x14ac:dyDescent="0.2">
      <c r="A148" t="s">
        <v>95</v>
      </c>
    </row>
    <row r="149" spans="1:1" x14ac:dyDescent="0.2">
      <c r="A149" t="s">
        <v>451</v>
      </c>
    </row>
    <row r="150" spans="1:1" x14ac:dyDescent="0.2">
      <c r="A150" t="s">
        <v>96</v>
      </c>
    </row>
    <row r="151" spans="1:1" x14ac:dyDescent="0.2">
      <c r="A151" t="s">
        <v>452</v>
      </c>
    </row>
    <row r="152" spans="1:1" x14ac:dyDescent="0.2">
      <c r="A152" t="s">
        <v>453</v>
      </c>
    </row>
    <row r="153" spans="1:1" x14ac:dyDescent="0.2">
      <c r="A153" t="s">
        <v>454</v>
      </c>
    </row>
    <row r="154" spans="1:1" x14ac:dyDescent="0.2">
      <c r="A154" t="s">
        <v>455</v>
      </c>
    </row>
    <row r="155" spans="1:1" x14ac:dyDescent="0.2">
      <c r="A155" t="s">
        <v>456</v>
      </c>
    </row>
    <row r="156" spans="1:1" x14ac:dyDescent="0.2">
      <c r="A156" t="s">
        <v>97</v>
      </c>
    </row>
    <row r="157" spans="1:1" x14ac:dyDescent="0.2">
      <c r="A157" t="s">
        <v>457</v>
      </c>
    </row>
    <row r="158" spans="1:1" x14ac:dyDescent="0.2">
      <c r="A158" t="s">
        <v>458</v>
      </c>
    </row>
    <row r="159" spans="1:1" x14ac:dyDescent="0.2">
      <c r="A159" t="s">
        <v>459</v>
      </c>
    </row>
    <row r="160" spans="1:1" x14ac:dyDescent="0.2">
      <c r="A160" t="s">
        <v>98</v>
      </c>
    </row>
    <row r="161" spans="1:1" x14ac:dyDescent="0.2">
      <c r="A161" t="s">
        <v>99</v>
      </c>
    </row>
    <row r="162" spans="1:1" x14ac:dyDescent="0.2">
      <c r="A162" t="s">
        <v>100</v>
      </c>
    </row>
    <row r="163" spans="1:1" x14ac:dyDescent="0.2">
      <c r="A163" t="s">
        <v>460</v>
      </c>
    </row>
    <row r="164" spans="1:1" x14ac:dyDescent="0.2">
      <c r="A164" t="s">
        <v>101</v>
      </c>
    </row>
    <row r="165" spans="1:1" x14ac:dyDescent="0.2">
      <c r="A165" t="s">
        <v>461</v>
      </c>
    </row>
    <row r="166" spans="1:1" x14ac:dyDescent="0.2">
      <c r="A166" t="s">
        <v>462</v>
      </c>
    </row>
    <row r="167" spans="1:1" x14ac:dyDescent="0.2">
      <c r="A167" t="s">
        <v>463</v>
      </c>
    </row>
    <row r="168" spans="1:1" x14ac:dyDescent="0.2">
      <c r="A168" t="s">
        <v>102</v>
      </c>
    </row>
    <row r="169" spans="1:1" x14ac:dyDescent="0.2">
      <c r="A169" t="s">
        <v>103</v>
      </c>
    </row>
    <row r="170" spans="1:1" x14ac:dyDescent="0.2">
      <c r="A170" t="s">
        <v>464</v>
      </c>
    </row>
    <row r="171" spans="1:1" x14ac:dyDescent="0.2">
      <c r="A171" t="s">
        <v>104</v>
      </c>
    </row>
    <row r="172" spans="1:1" x14ac:dyDescent="0.2">
      <c r="A172" t="s">
        <v>465</v>
      </c>
    </row>
    <row r="173" spans="1:1" x14ac:dyDescent="0.2">
      <c r="A173" t="s">
        <v>105</v>
      </c>
    </row>
    <row r="174" spans="1:1" x14ac:dyDescent="0.2">
      <c r="A174" t="s">
        <v>466</v>
      </c>
    </row>
    <row r="175" spans="1:1" x14ac:dyDescent="0.2">
      <c r="A175" t="s">
        <v>467</v>
      </c>
    </row>
    <row r="176" spans="1:1" x14ac:dyDescent="0.2">
      <c r="A176" t="s">
        <v>468</v>
      </c>
    </row>
    <row r="177" spans="1:1" x14ac:dyDescent="0.2">
      <c r="A177" t="s">
        <v>106</v>
      </c>
    </row>
    <row r="178" spans="1:1" x14ac:dyDescent="0.2">
      <c r="A178" t="s">
        <v>106</v>
      </c>
    </row>
    <row r="179" spans="1:1" x14ac:dyDescent="0.2">
      <c r="A179" t="s">
        <v>107</v>
      </c>
    </row>
    <row r="180" spans="1:1" x14ac:dyDescent="0.2">
      <c r="A180" t="s">
        <v>483</v>
      </c>
    </row>
    <row r="181" spans="1:1" x14ac:dyDescent="0.2">
      <c r="A181" t="s">
        <v>469</v>
      </c>
    </row>
    <row r="182" spans="1:1" x14ac:dyDescent="0.2">
      <c r="A182" t="s">
        <v>108</v>
      </c>
    </row>
    <row r="183" spans="1:1" x14ac:dyDescent="0.2">
      <c r="A183" t="s">
        <v>109</v>
      </c>
    </row>
    <row r="184" spans="1:1" x14ac:dyDescent="0.2">
      <c r="A184" t="s">
        <v>470</v>
      </c>
    </row>
    <row r="185" spans="1:1" x14ac:dyDescent="0.2">
      <c r="A185" t="s">
        <v>110</v>
      </c>
    </row>
    <row r="186" spans="1:1" x14ac:dyDescent="0.2">
      <c r="A186" t="s">
        <v>471</v>
      </c>
    </row>
    <row r="187" spans="1:1" x14ac:dyDescent="0.2">
      <c r="A187" t="s">
        <v>111</v>
      </c>
    </row>
    <row r="188" spans="1:1" x14ac:dyDescent="0.2">
      <c r="A188" t="s">
        <v>472</v>
      </c>
    </row>
    <row r="189" spans="1:1" x14ac:dyDescent="0.2">
      <c r="A189" t="s">
        <v>473</v>
      </c>
    </row>
    <row r="190" spans="1:1" x14ac:dyDescent="0.2">
      <c r="A190" t="s">
        <v>112</v>
      </c>
    </row>
    <row r="191" spans="1:1" x14ac:dyDescent="0.2">
      <c r="A191" t="s">
        <v>474</v>
      </c>
    </row>
    <row r="192" spans="1:1" x14ac:dyDescent="0.2">
      <c r="A192" t="s">
        <v>113</v>
      </c>
    </row>
    <row r="193" spans="1:1" x14ac:dyDescent="0.2">
      <c r="A193" t="s">
        <v>475</v>
      </c>
    </row>
    <row r="194" spans="1:1" x14ac:dyDescent="0.2">
      <c r="A194" t="s">
        <v>476</v>
      </c>
    </row>
    <row r="195" spans="1:1" x14ac:dyDescent="0.2">
      <c r="A195" t="s">
        <v>114</v>
      </c>
    </row>
    <row r="196" spans="1:1" x14ac:dyDescent="0.2">
      <c r="A196" t="s">
        <v>115</v>
      </c>
    </row>
    <row r="197" spans="1:1" x14ac:dyDescent="0.2">
      <c r="A197" t="s">
        <v>116</v>
      </c>
    </row>
    <row r="198" spans="1:1" x14ac:dyDescent="0.2">
      <c r="A198" t="s">
        <v>117</v>
      </c>
    </row>
    <row r="199" spans="1:1" x14ac:dyDescent="0.2">
      <c r="A199" t="s">
        <v>477</v>
      </c>
    </row>
    <row r="200" spans="1:1" x14ac:dyDescent="0.2">
      <c r="A200" t="s">
        <v>118</v>
      </c>
    </row>
    <row r="201" spans="1:1" x14ac:dyDescent="0.2">
      <c r="A201" t="s">
        <v>478</v>
      </c>
    </row>
    <row r="202" spans="1:1" x14ac:dyDescent="0.2">
      <c r="A202" t="s">
        <v>479</v>
      </c>
    </row>
    <row r="203" spans="1:1" x14ac:dyDescent="0.2">
      <c r="A203" t="s">
        <v>119</v>
      </c>
    </row>
    <row r="204" spans="1:1" x14ac:dyDescent="0.2">
      <c r="A204" t="s">
        <v>120</v>
      </c>
    </row>
    <row r="205" spans="1:1" x14ac:dyDescent="0.2">
      <c r="A205" t="s">
        <v>480</v>
      </c>
    </row>
    <row r="206" spans="1:1" x14ac:dyDescent="0.2">
      <c r="A206" t="s">
        <v>481</v>
      </c>
    </row>
    <row r="207" spans="1:1" x14ac:dyDescent="0.2">
      <c r="A207" t="s">
        <v>121</v>
      </c>
    </row>
    <row r="208" spans="1:1" x14ac:dyDescent="0.2">
      <c r="A208" t="s">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C205"/>
  <sheetViews>
    <sheetView topLeftCell="A145" workbookViewId="0">
      <selection activeCell="A116" sqref="A116"/>
    </sheetView>
  </sheetViews>
  <sheetFormatPr defaultRowHeight="12.75" x14ac:dyDescent="0.2"/>
  <cols>
    <col min="1" max="1" width="12.7109375" bestFit="1" customWidth="1"/>
  </cols>
  <sheetData>
    <row r="1" spans="1:3" x14ac:dyDescent="0.2">
      <c r="A1" t="s">
        <v>158</v>
      </c>
      <c r="C1" s="5" t="s">
        <v>128</v>
      </c>
    </row>
    <row r="2" spans="1:3" x14ac:dyDescent="0.2">
      <c r="A2" t="s">
        <v>159</v>
      </c>
    </row>
    <row r="3" spans="1:3" x14ac:dyDescent="0.2">
      <c r="A3" t="s">
        <v>160</v>
      </c>
    </row>
    <row r="4" spans="1:3" x14ac:dyDescent="0.2">
      <c r="A4" t="s">
        <v>161</v>
      </c>
    </row>
    <row r="5" spans="1:3" x14ac:dyDescent="0.2">
      <c r="A5" t="s">
        <v>162</v>
      </c>
    </row>
    <row r="6" spans="1:3" x14ac:dyDescent="0.2">
      <c r="A6" t="s">
        <v>163</v>
      </c>
    </row>
    <row r="7" spans="1:3" x14ac:dyDescent="0.2">
      <c r="A7" t="s">
        <v>164</v>
      </c>
    </row>
    <row r="8" spans="1:3" x14ac:dyDescent="0.2">
      <c r="A8" t="s">
        <v>165</v>
      </c>
    </row>
    <row r="9" spans="1:3" x14ac:dyDescent="0.2">
      <c r="A9" t="s">
        <v>166</v>
      </c>
    </row>
    <row r="10" spans="1:3" x14ac:dyDescent="0.2">
      <c r="A10" t="s">
        <v>167</v>
      </c>
    </row>
    <row r="11" spans="1:3" x14ac:dyDescent="0.2">
      <c r="A11" t="s">
        <v>168</v>
      </c>
    </row>
    <row r="12" spans="1:3" x14ac:dyDescent="0.2">
      <c r="A12" t="s">
        <v>169</v>
      </c>
    </row>
    <row r="13" spans="1:3" x14ac:dyDescent="0.2">
      <c r="A13" t="s">
        <v>170</v>
      </c>
    </row>
    <row r="14" spans="1:3" x14ac:dyDescent="0.2">
      <c r="A14" t="s">
        <v>171</v>
      </c>
    </row>
    <row r="15" spans="1:3" x14ac:dyDescent="0.2">
      <c r="A15" t="s">
        <v>172</v>
      </c>
    </row>
    <row r="16" spans="1:3" x14ac:dyDescent="0.2">
      <c r="A16" t="s">
        <v>173</v>
      </c>
    </row>
    <row r="17" spans="1:1" x14ac:dyDescent="0.2">
      <c r="A17" t="s">
        <v>174</v>
      </c>
    </row>
    <row r="18" spans="1:1" x14ac:dyDescent="0.2">
      <c r="A18" t="s">
        <v>175</v>
      </c>
    </row>
    <row r="19" spans="1:1" x14ac:dyDescent="0.2">
      <c r="A19" t="s">
        <v>176</v>
      </c>
    </row>
    <row r="20" spans="1:1" x14ac:dyDescent="0.2">
      <c r="A20" t="s">
        <v>177</v>
      </c>
    </row>
    <row r="21" spans="1:1" x14ac:dyDescent="0.2">
      <c r="A21" t="s">
        <v>178</v>
      </c>
    </row>
    <row r="22" spans="1:1" x14ac:dyDescent="0.2">
      <c r="A22" t="s">
        <v>179</v>
      </c>
    </row>
    <row r="23" spans="1:1" x14ac:dyDescent="0.2">
      <c r="A23" t="s">
        <v>180</v>
      </c>
    </row>
    <row r="24" spans="1:1" x14ac:dyDescent="0.2">
      <c r="A24" t="s">
        <v>181</v>
      </c>
    </row>
    <row r="25" spans="1:1" x14ac:dyDescent="0.2">
      <c r="A25" t="s">
        <v>182</v>
      </c>
    </row>
    <row r="26" spans="1:1" x14ac:dyDescent="0.2">
      <c r="A26" t="s">
        <v>183</v>
      </c>
    </row>
    <row r="27" spans="1:1" x14ac:dyDescent="0.2">
      <c r="A27" t="s">
        <v>184</v>
      </c>
    </row>
    <row r="28" spans="1:1" x14ac:dyDescent="0.2">
      <c r="A28" t="s">
        <v>185</v>
      </c>
    </row>
    <row r="29" spans="1:1" x14ac:dyDescent="0.2">
      <c r="A29" t="s">
        <v>186</v>
      </c>
    </row>
    <row r="30" spans="1:1" x14ac:dyDescent="0.2">
      <c r="A30" t="s">
        <v>187</v>
      </c>
    </row>
    <row r="31" spans="1:1" x14ac:dyDescent="0.2">
      <c r="A31" t="s">
        <v>188</v>
      </c>
    </row>
    <row r="32" spans="1:1" x14ac:dyDescent="0.2">
      <c r="A32" t="s">
        <v>189</v>
      </c>
    </row>
    <row r="33" spans="1:1" x14ac:dyDescent="0.2">
      <c r="A33" t="s">
        <v>190</v>
      </c>
    </row>
    <row r="34" spans="1:1" x14ac:dyDescent="0.2">
      <c r="A34" t="s">
        <v>191</v>
      </c>
    </row>
    <row r="35" spans="1:1" x14ac:dyDescent="0.2">
      <c r="A35" t="s">
        <v>192</v>
      </c>
    </row>
    <row r="36" spans="1:1" x14ac:dyDescent="0.2">
      <c r="A36" t="s">
        <v>193</v>
      </c>
    </row>
    <row r="37" spans="1:1" x14ac:dyDescent="0.2">
      <c r="A37" t="s">
        <v>194</v>
      </c>
    </row>
    <row r="38" spans="1:1" x14ac:dyDescent="0.2">
      <c r="A38" t="s">
        <v>195</v>
      </c>
    </row>
    <row r="39" spans="1:1" x14ac:dyDescent="0.2">
      <c r="A39" t="s">
        <v>196</v>
      </c>
    </row>
    <row r="40" spans="1:1" x14ac:dyDescent="0.2">
      <c r="A40" t="s">
        <v>197</v>
      </c>
    </row>
    <row r="41" spans="1:1" x14ac:dyDescent="0.2">
      <c r="A41" t="s">
        <v>198</v>
      </c>
    </row>
    <row r="42" spans="1:1" x14ac:dyDescent="0.2">
      <c r="A42" t="s">
        <v>199</v>
      </c>
    </row>
    <row r="43" spans="1:1" x14ac:dyDescent="0.2">
      <c r="A43" t="s">
        <v>200</v>
      </c>
    </row>
    <row r="44" spans="1:1" x14ac:dyDescent="0.2">
      <c r="A44" t="s">
        <v>201</v>
      </c>
    </row>
    <row r="45" spans="1:1" x14ac:dyDescent="0.2">
      <c r="A45" t="s">
        <v>202</v>
      </c>
    </row>
    <row r="46" spans="1:1" x14ac:dyDescent="0.2">
      <c r="A46" t="s">
        <v>203</v>
      </c>
    </row>
    <row r="47" spans="1:1" x14ac:dyDescent="0.2">
      <c r="A47" t="s">
        <v>204</v>
      </c>
    </row>
    <row r="48" spans="1:1" x14ac:dyDescent="0.2">
      <c r="A48" t="s">
        <v>205</v>
      </c>
    </row>
    <row r="49" spans="1:1" x14ac:dyDescent="0.2">
      <c r="A49" t="s">
        <v>206</v>
      </c>
    </row>
    <row r="50" spans="1:1" x14ac:dyDescent="0.2">
      <c r="A50" t="s">
        <v>207</v>
      </c>
    </row>
    <row r="51" spans="1:1" x14ac:dyDescent="0.2">
      <c r="A51" t="s">
        <v>208</v>
      </c>
    </row>
    <row r="52" spans="1:1" x14ac:dyDescent="0.2">
      <c r="A52" t="s">
        <v>209</v>
      </c>
    </row>
    <row r="53" spans="1:1" x14ac:dyDescent="0.2">
      <c r="A53" t="s">
        <v>210</v>
      </c>
    </row>
    <row r="54" spans="1:1" x14ac:dyDescent="0.2">
      <c r="A54" t="s">
        <v>211</v>
      </c>
    </row>
    <row r="55" spans="1:1" x14ac:dyDescent="0.2">
      <c r="A55" t="s">
        <v>212</v>
      </c>
    </row>
    <row r="56" spans="1:1" x14ac:dyDescent="0.2">
      <c r="A56" t="s">
        <v>213</v>
      </c>
    </row>
    <row r="57" spans="1:1" x14ac:dyDescent="0.2">
      <c r="A57" t="s">
        <v>214</v>
      </c>
    </row>
    <row r="58" spans="1:1" x14ac:dyDescent="0.2">
      <c r="A58" t="s">
        <v>215</v>
      </c>
    </row>
    <row r="59" spans="1:1" x14ac:dyDescent="0.2">
      <c r="A59" t="s">
        <v>216</v>
      </c>
    </row>
    <row r="60" spans="1:1" x14ac:dyDescent="0.2">
      <c r="A60" t="s">
        <v>217</v>
      </c>
    </row>
    <row r="61" spans="1:1" x14ac:dyDescent="0.2">
      <c r="A61" t="s">
        <v>218</v>
      </c>
    </row>
    <row r="62" spans="1:1" x14ac:dyDescent="0.2">
      <c r="A62" t="s">
        <v>219</v>
      </c>
    </row>
    <row r="63" spans="1:1" x14ac:dyDescent="0.2">
      <c r="A63" t="s">
        <v>220</v>
      </c>
    </row>
    <row r="64" spans="1:1" x14ac:dyDescent="0.2">
      <c r="A64" t="s">
        <v>221</v>
      </c>
    </row>
    <row r="65" spans="1:1" x14ac:dyDescent="0.2">
      <c r="A65" t="s">
        <v>222</v>
      </c>
    </row>
    <row r="66" spans="1:1" x14ac:dyDescent="0.2">
      <c r="A66" t="s">
        <v>223</v>
      </c>
    </row>
    <row r="67" spans="1:1" x14ac:dyDescent="0.2">
      <c r="A67" t="s">
        <v>224</v>
      </c>
    </row>
    <row r="68" spans="1:1" x14ac:dyDescent="0.2">
      <c r="A68" t="s">
        <v>225</v>
      </c>
    </row>
    <row r="69" spans="1:1" x14ac:dyDescent="0.2">
      <c r="A69" t="s">
        <v>226</v>
      </c>
    </row>
    <row r="70" spans="1:1" x14ac:dyDescent="0.2">
      <c r="A70" t="s">
        <v>227</v>
      </c>
    </row>
    <row r="71" spans="1:1" x14ac:dyDescent="0.2">
      <c r="A71" t="s">
        <v>228</v>
      </c>
    </row>
    <row r="72" spans="1:1" x14ac:dyDescent="0.2">
      <c r="A72" t="s">
        <v>229</v>
      </c>
    </row>
    <row r="73" spans="1:1" x14ac:dyDescent="0.2">
      <c r="A73" t="s">
        <v>230</v>
      </c>
    </row>
    <row r="74" spans="1:1" x14ac:dyDescent="0.2">
      <c r="A74" t="s">
        <v>231</v>
      </c>
    </row>
    <row r="75" spans="1:1" x14ac:dyDescent="0.2">
      <c r="A75" t="s">
        <v>232</v>
      </c>
    </row>
    <row r="76" spans="1:1" x14ac:dyDescent="0.2">
      <c r="A76" t="s">
        <v>233</v>
      </c>
    </row>
    <row r="77" spans="1:1" x14ac:dyDescent="0.2">
      <c r="A77" t="s">
        <v>234</v>
      </c>
    </row>
    <row r="78" spans="1:1" x14ac:dyDescent="0.2">
      <c r="A78" t="s">
        <v>235</v>
      </c>
    </row>
    <row r="79" spans="1:1" x14ac:dyDescent="0.2">
      <c r="A79" t="s">
        <v>236</v>
      </c>
    </row>
    <row r="80" spans="1:1" x14ac:dyDescent="0.2">
      <c r="A80" t="s">
        <v>237</v>
      </c>
    </row>
    <row r="81" spans="1:1" x14ac:dyDescent="0.2">
      <c r="A81" t="s">
        <v>238</v>
      </c>
    </row>
    <row r="82" spans="1:1" x14ac:dyDescent="0.2">
      <c r="A82" t="s">
        <v>239</v>
      </c>
    </row>
    <row r="83" spans="1:1" x14ac:dyDescent="0.2">
      <c r="A83" t="s">
        <v>240</v>
      </c>
    </row>
    <row r="84" spans="1:1" x14ac:dyDescent="0.2">
      <c r="A84" t="s">
        <v>241</v>
      </c>
    </row>
    <row r="85" spans="1:1" x14ac:dyDescent="0.2">
      <c r="A85" t="s">
        <v>242</v>
      </c>
    </row>
    <row r="86" spans="1:1" x14ac:dyDescent="0.2">
      <c r="A86" t="s">
        <v>243</v>
      </c>
    </row>
    <row r="87" spans="1:1" x14ac:dyDescent="0.2">
      <c r="A87" t="s">
        <v>244</v>
      </c>
    </row>
    <row r="88" spans="1:1" x14ac:dyDescent="0.2">
      <c r="A88" t="s">
        <v>245</v>
      </c>
    </row>
    <row r="89" spans="1:1" x14ac:dyDescent="0.2">
      <c r="A89" t="s">
        <v>246</v>
      </c>
    </row>
    <row r="90" spans="1:1" x14ac:dyDescent="0.2">
      <c r="A90" t="s">
        <v>247</v>
      </c>
    </row>
    <row r="91" spans="1:1" x14ac:dyDescent="0.2">
      <c r="A91" t="s">
        <v>248</v>
      </c>
    </row>
    <row r="92" spans="1:1" x14ac:dyDescent="0.2">
      <c r="A92" t="s">
        <v>249</v>
      </c>
    </row>
    <row r="93" spans="1:1" x14ac:dyDescent="0.2">
      <c r="A93" t="s">
        <v>250</v>
      </c>
    </row>
    <row r="94" spans="1:1" x14ac:dyDescent="0.2">
      <c r="A94" t="s">
        <v>251</v>
      </c>
    </row>
    <row r="95" spans="1:1" x14ac:dyDescent="0.2">
      <c r="A95" t="s">
        <v>252</v>
      </c>
    </row>
    <row r="96" spans="1:1" x14ac:dyDescent="0.2">
      <c r="A96" t="s">
        <v>253</v>
      </c>
    </row>
    <row r="97" spans="1:1" x14ac:dyDescent="0.2">
      <c r="A97" t="s">
        <v>254</v>
      </c>
    </row>
    <row r="98" spans="1:1" x14ac:dyDescent="0.2">
      <c r="A98" t="s">
        <v>255</v>
      </c>
    </row>
    <row r="99" spans="1:1" x14ac:dyDescent="0.2">
      <c r="A99" t="s">
        <v>256</v>
      </c>
    </row>
    <row r="100" spans="1:1" x14ac:dyDescent="0.2">
      <c r="A100" t="s">
        <v>257</v>
      </c>
    </row>
    <row r="101" spans="1:1" x14ac:dyDescent="0.2">
      <c r="A101" t="s">
        <v>258</v>
      </c>
    </row>
    <row r="102" spans="1:1" x14ac:dyDescent="0.2">
      <c r="A102" t="s">
        <v>259</v>
      </c>
    </row>
    <row r="103" spans="1:1" x14ac:dyDescent="0.2">
      <c r="A103" t="s">
        <v>260</v>
      </c>
    </row>
    <row r="104" spans="1:1" x14ac:dyDescent="0.2">
      <c r="A104" t="s">
        <v>261</v>
      </c>
    </row>
    <row r="105" spans="1:1" x14ac:dyDescent="0.2">
      <c r="A105" t="s">
        <v>262</v>
      </c>
    </row>
    <row r="106" spans="1:1" x14ac:dyDescent="0.2">
      <c r="A106" t="s">
        <v>263</v>
      </c>
    </row>
    <row r="107" spans="1:1" x14ac:dyDescent="0.2">
      <c r="A107" t="s">
        <v>264</v>
      </c>
    </row>
    <row r="108" spans="1:1" x14ac:dyDescent="0.2">
      <c r="A108" t="s">
        <v>265</v>
      </c>
    </row>
    <row r="109" spans="1:1" x14ac:dyDescent="0.2">
      <c r="A109" t="s">
        <v>266</v>
      </c>
    </row>
    <row r="110" spans="1:1" x14ac:dyDescent="0.2">
      <c r="A110" t="s">
        <v>267</v>
      </c>
    </row>
    <row r="111" spans="1:1" x14ac:dyDescent="0.2">
      <c r="A111" t="s">
        <v>268</v>
      </c>
    </row>
    <row r="112" spans="1:1" x14ac:dyDescent="0.2">
      <c r="A112" t="s">
        <v>269</v>
      </c>
    </row>
    <row r="113" spans="1:1" x14ac:dyDescent="0.2">
      <c r="A113" t="s">
        <v>270</v>
      </c>
    </row>
    <row r="114" spans="1:1" x14ac:dyDescent="0.2">
      <c r="A114" t="s">
        <v>271</v>
      </c>
    </row>
    <row r="115" spans="1:1" x14ac:dyDescent="0.2">
      <c r="A115" t="s">
        <v>272</v>
      </c>
    </row>
    <row r="116" spans="1:1" x14ac:dyDescent="0.2">
      <c r="A116" t="s">
        <v>482</v>
      </c>
    </row>
    <row r="117" spans="1:1" x14ac:dyDescent="0.2">
      <c r="A117" t="s">
        <v>273</v>
      </c>
    </row>
    <row r="118" spans="1:1" x14ac:dyDescent="0.2">
      <c r="A118" t="s">
        <v>274</v>
      </c>
    </row>
    <row r="119" spans="1:1" x14ac:dyDescent="0.2">
      <c r="A119" t="s">
        <v>275</v>
      </c>
    </row>
    <row r="120" spans="1:1" x14ac:dyDescent="0.2">
      <c r="A120" t="s">
        <v>276</v>
      </c>
    </row>
    <row r="121" spans="1:1" x14ac:dyDescent="0.2">
      <c r="A121" t="s">
        <v>277</v>
      </c>
    </row>
    <row r="122" spans="1:1" x14ac:dyDescent="0.2">
      <c r="A122" t="s">
        <v>278</v>
      </c>
    </row>
    <row r="123" spans="1:1" x14ac:dyDescent="0.2">
      <c r="A123" t="s">
        <v>279</v>
      </c>
    </row>
    <row r="124" spans="1:1" x14ac:dyDescent="0.2">
      <c r="A124" t="s">
        <v>280</v>
      </c>
    </row>
    <row r="125" spans="1:1" x14ac:dyDescent="0.2">
      <c r="A125" t="s">
        <v>281</v>
      </c>
    </row>
    <row r="126" spans="1:1" x14ac:dyDescent="0.2">
      <c r="A126" t="s">
        <v>282</v>
      </c>
    </row>
    <row r="127" spans="1:1" x14ac:dyDescent="0.2">
      <c r="A127" t="s">
        <v>283</v>
      </c>
    </row>
    <row r="128" spans="1:1" x14ac:dyDescent="0.2">
      <c r="A128" t="s">
        <v>284</v>
      </c>
    </row>
    <row r="129" spans="1:1" x14ac:dyDescent="0.2">
      <c r="A129" t="s">
        <v>285</v>
      </c>
    </row>
    <row r="130" spans="1:1" x14ac:dyDescent="0.2">
      <c r="A130" t="s">
        <v>286</v>
      </c>
    </row>
    <row r="131" spans="1:1" x14ac:dyDescent="0.2">
      <c r="A131" t="s">
        <v>287</v>
      </c>
    </row>
    <row r="132" spans="1:1" x14ac:dyDescent="0.2">
      <c r="A132" t="s">
        <v>288</v>
      </c>
    </row>
    <row r="133" spans="1:1" x14ac:dyDescent="0.2">
      <c r="A133" t="s">
        <v>289</v>
      </c>
    </row>
    <row r="134" spans="1:1" x14ac:dyDescent="0.2">
      <c r="A134" t="s">
        <v>290</v>
      </c>
    </row>
    <row r="135" spans="1:1" x14ac:dyDescent="0.2">
      <c r="A135" t="s">
        <v>291</v>
      </c>
    </row>
    <row r="136" spans="1:1" x14ac:dyDescent="0.2">
      <c r="A136" t="s">
        <v>292</v>
      </c>
    </row>
    <row r="137" spans="1:1" x14ac:dyDescent="0.2">
      <c r="A137" t="s">
        <v>293</v>
      </c>
    </row>
    <row r="138" spans="1:1" x14ac:dyDescent="0.2">
      <c r="A138" t="s">
        <v>294</v>
      </c>
    </row>
    <row r="139" spans="1:1" x14ac:dyDescent="0.2">
      <c r="A139" t="s">
        <v>295</v>
      </c>
    </row>
    <row r="140" spans="1:1" x14ac:dyDescent="0.2">
      <c r="A140" t="s">
        <v>296</v>
      </c>
    </row>
    <row r="141" spans="1:1" x14ac:dyDescent="0.2">
      <c r="A141" t="s">
        <v>297</v>
      </c>
    </row>
    <row r="142" spans="1:1" x14ac:dyDescent="0.2">
      <c r="A142" t="s">
        <v>298</v>
      </c>
    </row>
    <row r="143" spans="1:1" x14ac:dyDescent="0.2">
      <c r="A143" t="s">
        <v>299</v>
      </c>
    </row>
    <row r="144" spans="1:1" x14ac:dyDescent="0.2">
      <c r="A144" t="s">
        <v>300</v>
      </c>
    </row>
    <row r="145" spans="1:1" x14ac:dyDescent="0.2">
      <c r="A145" t="s">
        <v>301</v>
      </c>
    </row>
    <row r="146" spans="1:1" x14ac:dyDescent="0.2">
      <c r="A146" t="s">
        <v>302</v>
      </c>
    </row>
    <row r="147" spans="1:1" x14ac:dyDescent="0.2">
      <c r="A147" t="s">
        <v>303</v>
      </c>
    </row>
    <row r="148" spans="1:1" x14ac:dyDescent="0.2">
      <c r="A148" t="s">
        <v>304</v>
      </c>
    </row>
    <row r="149" spans="1:1" x14ac:dyDescent="0.2">
      <c r="A149" t="s">
        <v>305</v>
      </c>
    </row>
    <row r="150" spans="1:1" x14ac:dyDescent="0.2">
      <c r="A150" t="s">
        <v>306</v>
      </c>
    </row>
    <row r="151" spans="1:1" x14ac:dyDescent="0.2">
      <c r="A151" t="s">
        <v>307</v>
      </c>
    </row>
    <row r="152" spans="1:1" x14ac:dyDescent="0.2">
      <c r="A152" t="s">
        <v>308</v>
      </c>
    </row>
    <row r="153" spans="1:1" x14ac:dyDescent="0.2">
      <c r="A153" t="s">
        <v>309</v>
      </c>
    </row>
    <row r="154" spans="1:1" x14ac:dyDescent="0.2">
      <c r="A154" t="s">
        <v>310</v>
      </c>
    </row>
    <row r="155" spans="1:1" x14ac:dyDescent="0.2">
      <c r="A155" t="s">
        <v>311</v>
      </c>
    </row>
    <row r="156" spans="1:1" x14ac:dyDescent="0.2">
      <c r="A156" t="s">
        <v>312</v>
      </c>
    </row>
    <row r="157" spans="1:1" x14ac:dyDescent="0.2">
      <c r="A157" t="s">
        <v>313</v>
      </c>
    </row>
    <row r="158" spans="1:1" x14ac:dyDescent="0.2">
      <c r="A158" t="s">
        <v>314</v>
      </c>
    </row>
    <row r="159" spans="1:1" x14ac:dyDescent="0.2">
      <c r="A159" t="s">
        <v>315</v>
      </c>
    </row>
    <row r="160" spans="1:1" x14ac:dyDescent="0.2">
      <c r="A160" t="s">
        <v>316</v>
      </c>
    </row>
    <row r="161" spans="1:1" x14ac:dyDescent="0.2">
      <c r="A161" t="s">
        <v>317</v>
      </c>
    </row>
    <row r="162" spans="1:1" x14ac:dyDescent="0.2">
      <c r="A162" t="s">
        <v>318</v>
      </c>
    </row>
    <row r="163" spans="1:1" x14ac:dyDescent="0.2">
      <c r="A163" t="s">
        <v>319</v>
      </c>
    </row>
    <row r="164" spans="1:1" x14ac:dyDescent="0.2">
      <c r="A164" t="s">
        <v>320</v>
      </c>
    </row>
    <row r="165" spans="1:1" x14ac:dyDescent="0.2">
      <c r="A165" t="s">
        <v>321</v>
      </c>
    </row>
    <row r="166" spans="1:1" x14ac:dyDescent="0.2">
      <c r="A166" t="s">
        <v>322</v>
      </c>
    </row>
    <row r="167" spans="1:1" x14ac:dyDescent="0.2">
      <c r="A167" t="s">
        <v>323</v>
      </c>
    </row>
    <row r="168" spans="1:1" x14ac:dyDescent="0.2">
      <c r="A168" t="s">
        <v>324</v>
      </c>
    </row>
    <row r="169" spans="1:1" x14ac:dyDescent="0.2">
      <c r="A169" t="s">
        <v>325</v>
      </c>
    </row>
    <row r="170" spans="1:1" x14ac:dyDescent="0.2">
      <c r="A170" t="s">
        <v>326</v>
      </c>
    </row>
    <row r="171" spans="1:1" x14ac:dyDescent="0.2">
      <c r="A171" t="s">
        <v>327</v>
      </c>
    </row>
    <row r="172" spans="1:1" x14ac:dyDescent="0.2">
      <c r="A172" t="s">
        <v>328</v>
      </c>
    </row>
    <row r="173" spans="1:1" x14ac:dyDescent="0.2">
      <c r="A173" t="s">
        <v>329</v>
      </c>
    </row>
    <row r="174" spans="1:1" x14ac:dyDescent="0.2">
      <c r="A174" t="s">
        <v>330</v>
      </c>
    </row>
    <row r="175" spans="1:1" x14ac:dyDescent="0.2">
      <c r="A175" t="s">
        <v>331</v>
      </c>
    </row>
    <row r="176" spans="1:1" x14ac:dyDescent="0.2">
      <c r="A176" t="s">
        <v>332</v>
      </c>
    </row>
    <row r="177" spans="1:1" x14ac:dyDescent="0.2">
      <c r="A177" t="s">
        <v>333</v>
      </c>
    </row>
    <row r="178" spans="1:1" x14ac:dyDescent="0.2">
      <c r="A178" t="s">
        <v>334</v>
      </c>
    </row>
    <row r="179" spans="1:1" x14ac:dyDescent="0.2">
      <c r="A179" t="s">
        <v>335</v>
      </c>
    </row>
    <row r="180" spans="1:1" x14ac:dyDescent="0.2">
      <c r="A180" t="s">
        <v>336</v>
      </c>
    </row>
    <row r="181" spans="1:1" x14ac:dyDescent="0.2">
      <c r="A181" t="s">
        <v>337</v>
      </c>
    </row>
    <row r="182" spans="1:1" x14ac:dyDescent="0.2">
      <c r="A182" t="s">
        <v>338</v>
      </c>
    </row>
    <row r="183" spans="1:1" x14ac:dyDescent="0.2">
      <c r="A183" t="s">
        <v>339</v>
      </c>
    </row>
    <row r="184" spans="1:1" x14ac:dyDescent="0.2">
      <c r="A184" t="s">
        <v>340</v>
      </c>
    </row>
    <row r="185" spans="1:1" x14ac:dyDescent="0.2">
      <c r="A185" t="s">
        <v>341</v>
      </c>
    </row>
    <row r="186" spans="1:1" x14ac:dyDescent="0.2">
      <c r="A186" t="s">
        <v>342</v>
      </c>
    </row>
    <row r="187" spans="1:1" x14ac:dyDescent="0.2">
      <c r="A187" t="s">
        <v>343</v>
      </c>
    </row>
    <row r="188" spans="1:1" x14ac:dyDescent="0.2">
      <c r="A188" t="s">
        <v>344</v>
      </c>
    </row>
    <row r="189" spans="1:1" x14ac:dyDescent="0.2">
      <c r="A189" t="s">
        <v>345</v>
      </c>
    </row>
    <row r="190" spans="1:1" x14ac:dyDescent="0.2">
      <c r="A190" t="s">
        <v>346</v>
      </c>
    </row>
    <row r="191" spans="1:1" x14ac:dyDescent="0.2">
      <c r="A191" t="s">
        <v>347</v>
      </c>
    </row>
    <row r="192" spans="1:1" x14ac:dyDescent="0.2">
      <c r="A192" t="s">
        <v>348</v>
      </c>
    </row>
    <row r="193" spans="1:1" x14ac:dyDescent="0.2">
      <c r="A193" t="s">
        <v>349</v>
      </c>
    </row>
    <row r="194" spans="1:1" x14ac:dyDescent="0.2">
      <c r="A194" t="s">
        <v>350</v>
      </c>
    </row>
    <row r="195" spans="1:1" x14ac:dyDescent="0.2">
      <c r="A195" t="s">
        <v>351</v>
      </c>
    </row>
    <row r="196" spans="1:1" x14ac:dyDescent="0.2">
      <c r="A196" t="s">
        <v>352</v>
      </c>
    </row>
    <row r="197" spans="1:1" x14ac:dyDescent="0.2">
      <c r="A197" t="s">
        <v>353</v>
      </c>
    </row>
    <row r="198" spans="1:1" x14ac:dyDescent="0.2">
      <c r="A198" t="s">
        <v>354</v>
      </c>
    </row>
    <row r="199" spans="1:1" x14ac:dyDescent="0.2">
      <c r="A199" t="s">
        <v>355</v>
      </c>
    </row>
    <row r="200" spans="1:1" x14ac:dyDescent="0.2">
      <c r="A200" t="s">
        <v>356</v>
      </c>
    </row>
    <row r="201" spans="1:1" x14ac:dyDescent="0.2">
      <c r="A201" t="s">
        <v>357</v>
      </c>
    </row>
    <row r="202" spans="1:1" x14ac:dyDescent="0.2">
      <c r="A202" t="s">
        <v>358</v>
      </c>
    </row>
    <row r="203" spans="1:1" x14ac:dyDescent="0.2">
      <c r="A203" t="s">
        <v>359</v>
      </c>
    </row>
    <row r="204" spans="1:1" x14ac:dyDescent="0.2">
      <c r="A204" t="s">
        <v>360</v>
      </c>
    </row>
    <row r="205" spans="1:1" x14ac:dyDescent="0.2">
      <c r="A205" t="s">
        <v>361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C38"/>
  <sheetViews>
    <sheetView workbookViewId="0">
      <selection activeCell="B2" sqref="B2"/>
    </sheetView>
  </sheetViews>
  <sheetFormatPr defaultRowHeight="12.75" x14ac:dyDescent="0.2"/>
  <cols>
    <col min="1" max="1" width="9.140625" style="60"/>
    <col min="2" max="2" width="63.5703125" customWidth="1"/>
    <col min="3" max="3" width="10.140625" style="7" bestFit="1" customWidth="1"/>
  </cols>
  <sheetData>
    <row r="1" spans="1:3" x14ac:dyDescent="0.2">
      <c r="A1" s="58" t="s">
        <v>26</v>
      </c>
      <c r="B1" s="56" t="s">
        <v>27</v>
      </c>
      <c r="C1" s="35" t="s">
        <v>28</v>
      </c>
    </row>
    <row r="2" spans="1:3" x14ac:dyDescent="0.2">
      <c r="A2" s="61" t="s">
        <v>503</v>
      </c>
      <c r="B2" s="52" t="s">
        <v>29</v>
      </c>
      <c r="C2" s="57">
        <v>43250</v>
      </c>
    </row>
    <row r="3" spans="1:3" x14ac:dyDescent="0.2">
      <c r="A3" s="59"/>
      <c r="B3" s="52"/>
      <c r="C3" s="53"/>
    </row>
    <row r="4" spans="1:3" x14ac:dyDescent="0.2">
      <c r="A4" s="59"/>
      <c r="B4" s="52"/>
      <c r="C4" s="53"/>
    </row>
    <row r="5" spans="1:3" x14ac:dyDescent="0.2">
      <c r="A5" s="59"/>
      <c r="B5" s="52"/>
      <c r="C5" s="53"/>
    </row>
    <row r="6" spans="1:3" x14ac:dyDescent="0.2">
      <c r="A6" s="59"/>
      <c r="B6" s="52"/>
      <c r="C6" s="53"/>
    </row>
    <row r="7" spans="1:3" x14ac:dyDescent="0.2">
      <c r="A7" s="59"/>
      <c r="B7" s="52"/>
      <c r="C7" s="53"/>
    </row>
    <row r="8" spans="1:3" x14ac:dyDescent="0.2">
      <c r="A8" s="59"/>
      <c r="B8" s="52"/>
      <c r="C8" s="53"/>
    </row>
    <row r="9" spans="1:3" x14ac:dyDescent="0.2">
      <c r="A9" s="59"/>
      <c r="B9" s="52"/>
      <c r="C9" s="53"/>
    </row>
    <row r="10" spans="1:3" x14ac:dyDescent="0.2">
      <c r="A10" s="59"/>
      <c r="B10" s="52"/>
      <c r="C10" s="53"/>
    </row>
    <row r="11" spans="1:3" x14ac:dyDescent="0.2">
      <c r="A11" s="59"/>
      <c r="B11" s="52"/>
      <c r="C11" s="53"/>
    </row>
    <row r="12" spans="1:3" x14ac:dyDescent="0.2">
      <c r="A12" s="59"/>
      <c r="B12" s="52"/>
      <c r="C12" s="53"/>
    </row>
    <row r="13" spans="1:3" x14ac:dyDescent="0.2">
      <c r="A13" s="59"/>
      <c r="B13" s="52"/>
      <c r="C13" s="53"/>
    </row>
    <row r="14" spans="1:3" x14ac:dyDescent="0.2">
      <c r="A14" s="59"/>
      <c r="B14" s="52"/>
      <c r="C14" s="53"/>
    </row>
    <row r="15" spans="1:3" x14ac:dyDescent="0.2">
      <c r="A15" s="59"/>
      <c r="B15" s="52"/>
      <c r="C15" s="53"/>
    </row>
    <row r="16" spans="1:3" x14ac:dyDescent="0.2">
      <c r="A16" s="59"/>
      <c r="B16" s="52"/>
      <c r="C16" s="53"/>
    </row>
    <row r="17" spans="1:3" x14ac:dyDescent="0.2">
      <c r="A17" s="59"/>
      <c r="B17" s="52"/>
      <c r="C17" s="53"/>
    </row>
    <row r="18" spans="1:3" x14ac:dyDescent="0.2">
      <c r="A18" s="59"/>
      <c r="B18" s="52"/>
      <c r="C18" s="53"/>
    </row>
    <row r="19" spans="1:3" x14ac:dyDescent="0.2">
      <c r="A19" s="59"/>
      <c r="B19" s="52"/>
      <c r="C19" s="53"/>
    </row>
    <row r="20" spans="1:3" x14ac:dyDescent="0.2">
      <c r="A20" s="59"/>
      <c r="B20" s="52"/>
      <c r="C20" s="53"/>
    </row>
    <row r="21" spans="1:3" x14ac:dyDescent="0.2">
      <c r="A21" s="59"/>
      <c r="B21" s="52"/>
      <c r="C21" s="53"/>
    </row>
    <row r="22" spans="1:3" x14ac:dyDescent="0.2">
      <c r="A22" s="59"/>
      <c r="B22" s="52"/>
      <c r="C22" s="53"/>
    </row>
    <row r="23" spans="1:3" x14ac:dyDescent="0.2">
      <c r="A23" s="59"/>
      <c r="B23" s="52"/>
      <c r="C23" s="53"/>
    </row>
    <row r="24" spans="1:3" x14ac:dyDescent="0.2">
      <c r="A24" s="59"/>
      <c r="B24" s="52"/>
      <c r="C24" s="53"/>
    </row>
    <row r="25" spans="1:3" x14ac:dyDescent="0.2">
      <c r="A25" s="59"/>
      <c r="B25" s="52"/>
      <c r="C25" s="53"/>
    </row>
    <row r="26" spans="1:3" x14ac:dyDescent="0.2">
      <c r="A26" s="59"/>
      <c r="B26" s="52"/>
      <c r="C26" s="53"/>
    </row>
    <row r="27" spans="1:3" x14ac:dyDescent="0.2">
      <c r="A27" s="59"/>
      <c r="B27" s="52"/>
      <c r="C27" s="53"/>
    </row>
    <row r="28" spans="1:3" x14ac:dyDescent="0.2">
      <c r="A28" s="59"/>
      <c r="B28" s="52"/>
      <c r="C28" s="53"/>
    </row>
    <row r="29" spans="1:3" x14ac:dyDescent="0.2">
      <c r="A29" s="59"/>
      <c r="B29" s="52"/>
      <c r="C29" s="53"/>
    </row>
    <row r="30" spans="1:3" x14ac:dyDescent="0.2">
      <c r="A30" s="59"/>
      <c r="B30" s="52"/>
      <c r="C30" s="53"/>
    </row>
    <row r="31" spans="1:3" x14ac:dyDescent="0.2">
      <c r="A31" s="59"/>
      <c r="B31" s="52"/>
      <c r="C31" s="53"/>
    </row>
    <row r="32" spans="1:3" x14ac:dyDescent="0.2">
      <c r="A32" s="59"/>
      <c r="B32" s="52"/>
      <c r="C32" s="53"/>
    </row>
    <row r="33" spans="1:3" x14ac:dyDescent="0.2">
      <c r="A33" s="59"/>
      <c r="B33" s="52"/>
      <c r="C33" s="53"/>
    </row>
    <row r="34" spans="1:3" x14ac:dyDescent="0.2">
      <c r="A34" s="59"/>
      <c r="B34" s="52"/>
      <c r="C34" s="53"/>
    </row>
    <row r="35" spans="1:3" x14ac:dyDescent="0.2">
      <c r="A35" s="59"/>
      <c r="B35" s="52"/>
      <c r="C35" s="53"/>
    </row>
    <row r="36" spans="1:3" x14ac:dyDescent="0.2">
      <c r="A36" s="59"/>
      <c r="B36" s="52"/>
      <c r="C36" s="53"/>
    </row>
    <row r="37" spans="1:3" x14ac:dyDescent="0.2">
      <c r="A37" s="59"/>
      <c r="B37" s="52"/>
      <c r="C37" s="53"/>
    </row>
    <row r="38" spans="1:3" x14ac:dyDescent="0.2">
      <c r="A38" s="59"/>
      <c r="B38" s="52"/>
      <c r="C38" s="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J41"/>
  <sheetViews>
    <sheetView zoomScale="80" zoomScaleNormal="80" workbookViewId="0">
      <selection activeCell="C5" sqref="C5"/>
    </sheetView>
  </sheetViews>
  <sheetFormatPr defaultColWidth="9.140625" defaultRowHeight="12.75" x14ac:dyDescent="0.2"/>
  <cols>
    <col min="1" max="2" width="9.42578125" style="46" customWidth="1"/>
    <col min="3" max="3" width="57.42578125" style="46" customWidth="1"/>
    <col min="4" max="4" width="18.42578125" style="46" customWidth="1"/>
    <col min="5" max="5" width="17" style="46" customWidth="1"/>
    <col min="6" max="6" width="16" style="46" customWidth="1"/>
    <col min="7" max="7" width="18.28515625" style="46" customWidth="1"/>
    <col min="8" max="8" width="71.7109375" style="46" bestFit="1" customWidth="1"/>
    <col min="9" max="16384" width="9.140625" style="46"/>
  </cols>
  <sheetData>
    <row r="1" spans="1:10" ht="18" customHeight="1" x14ac:dyDescent="0.2">
      <c r="A1" s="47" t="s">
        <v>137</v>
      </c>
      <c r="B1" s="47" t="s">
        <v>28</v>
      </c>
      <c r="C1" s="47" t="s">
        <v>131</v>
      </c>
      <c r="D1" s="47" t="s">
        <v>132</v>
      </c>
      <c r="E1" s="47" t="s">
        <v>133</v>
      </c>
      <c r="F1" s="47" t="s">
        <v>134</v>
      </c>
      <c r="G1" s="47" t="s">
        <v>135</v>
      </c>
      <c r="H1" s="47" t="s">
        <v>136</v>
      </c>
    </row>
    <row r="2" spans="1:10" x14ac:dyDescent="0.2">
      <c r="A2" s="48">
        <v>1</v>
      </c>
      <c r="B2" s="51">
        <v>42447</v>
      </c>
      <c r="C2" s="50" t="s">
        <v>154</v>
      </c>
      <c r="D2" s="50" t="s">
        <v>155</v>
      </c>
      <c r="E2" s="49" t="s">
        <v>2</v>
      </c>
      <c r="F2" s="51">
        <v>42447</v>
      </c>
      <c r="G2" s="50" t="s">
        <v>156</v>
      </c>
      <c r="H2" s="50" t="s">
        <v>157</v>
      </c>
    </row>
    <row r="3" spans="1:10" x14ac:dyDescent="0.2">
      <c r="A3" s="48">
        <v>2</v>
      </c>
      <c r="B3" s="51"/>
      <c r="C3" s="50"/>
      <c r="D3" s="50"/>
      <c r="E3" s="49"/>
      <c r="F3" s="50"/>
      <c r="G3" s="50"/>
      <c r="H3" s="50"/>
    </row>
    <row r="4" spans="1:10" x14ac:dyDescent="0.2">
      <c r="A4" s="48">
        <v>3</v>
      </c>
      <c r="B4" s="51"/>
      <c r="C4" s="50"/>
      <c r="D4" s="50"/>
      <c r="E4" s="49"/>
      <c r="F4" s="50"/>
      <c r="G4" s="50"/>
      <c r="H4" s="50"/>
      <c r="J4" s="45"/>
    </row>
    <row r="5" spans="1:10" x14ac:dyDescent="0.2">
      <c r="A5" s="48">
        <v>4</v>
      </c>
      <c r="B5" s="51"/>
      <c r="C5" s="50"/>
      <c r="D5" s="50"/>
      <c r="E5" s="49"/>
      <c r="F5" s="50"/>
      <c r="G5" s="50"/>
      <c r="H5" s="50"/>
      <c r="J5" s="40"/>
    </row>
    <row r="6" spans="1:10" x14ac:dyDescent="0.2">
      <c r="A6" s="48">
        <v>5</v>
      </c>
      <c r="B6" s="51"/>
      <c r="C6" s="50"/>
      <c r="D6" s="50"/>
      <c r="E6" s="49"/>
      <c r="F6" s="50"/>
      <c r="G6" s="50"/>
      <c r="H6" s="50"/>
      <c r="J6" s="40"/>
    </row>
    <row r="7" spans="1:10" x14ac:dyDescent="0.2">
      <c r="A7" s="48">
        <v>6</v>
      </c>
      <c r="B7" s="51"/>
      <c r="C7" s="50"/>
      <c r="D7" s="50"/>
      <c r="E7" s="49"/>
      <c r="F7" s="50"/>
      <c r="G7" s="50"/>
      <c r="H7" s="50"/>
      <c r="J7" s="40"/>
    </row>
    <row r="8" spans="1:10" x14ac:dyDescent="0.2">
      <c r="A8" s="48">
        <v>7</v>
      </c>
      <c r="B8" s="51"/>
      <c r="C8" s="50"/>
      <c r="D8" s="50"/>
      <c r="E8" s="49"/>
      <c r="F8" s="50"/>
      <c r="G8" s="50"/>
      <c r="H8" s="50"/>
      <c r="J8" s="40"/>
    </row>
    <row r="9" spans="1:10" x14ac:dyDescent="0.2">
      <c r="A9" s="48">
        <v>8</v>
      </c>
      <c r="B9" s="51"/>
      <c r="C9" s="50"/>
      <c r="D9" s="50"/>
      <c r="E9" s="49"/>
      <c r="F9" s="50"/>
      <c r="G9" s="50"/>
      <c r="H9" s="50"/>
      <c r="J9" s="40"/>
    </row>
    <row r="10" spans="1:10" x14ac:dyDescent="0.2">
      <c r="A10" s="48">
        <v>9</v>
      </c>
      <c r="B10" s="51"/>
      <c r="C10" s="50"/>
      <c r="D10" s="50"/>
      <c r="E10" s="49"/>
      <c r="F10" s="50"/>
      <c r="G10" s="50"/>
      <c r="H10" s="50"/>
    </row>
    <row r="11" spans="1:10" x14ac:dyDescent="0.2">
      <c r="A11" s="48">
        <v>10</v>
      </c>
      <c r="B11" s="51"/>
      <c r="C11" s="50"/>
      <c r="D11" s="50"/>
      <c r="E11" s="49"/>
      <c r="F11" s="50"/>
      <c r="G11" s="50"/>
      <c r="H11" s="50"/>
    </row>
    <row r="12" spans="1:10" x14ac:dyDescent="0.2">
      <c r="A12" s="48">
        <v>11</v>
      </c>
      <c r="B12" s="51"/>
      <c r="C12" s="50"/>
      <c r="D12" s="50"/>
      <c r="E12" s="49"/>
      <c r="F12" s="50"/>
      <c r="G12" s="50"/>
      <c r="H12" s="50"/>
    </row>
    <row r="13" spans="1:10" x14ac:dyDescent="0.2">
      <c r="A13" s="48">
        <v>12</v>
      </c>
      <c r="B13" s="51"/>
      <c r="C13" s="50"/>
      <c r="D13" s="50"/>
      <c r="E13" s="49"/>
      <c r="F13" s="50"/>
      <c r="G13" s="50"/>
      <c r="H13" s="50"/>
    </row>
    <row r="14" spans="1:10" x14ac:dyDescent="0.2">
      <c r="A14" s="48">
        <v>13</v>
      </c>
      <c r="B14" s="51"/>
      <c r="C14" s="50"/>
      <c r="D14" s="50"/>
      <c r="E14" s="49"/>
      <c r="F14" s="50"/>
      <c r="G14" s="50"/>
      <c r="H14" s="50"/>
    </row>
    <row r="15" spans="1:10" x14ac:dyDescent="0.2">
      <c r="A15" s="48">
        <v>14</v>
      </c>
      <c r="B15" s="51"/>
      <c r="C15" s="50"/>
      <c r="D15" s="50"/>
      <c r="E15" s="49"/>
      <c r="F15" s="50"/>
      <c r="G15" s="50"/>
      <c r="H15" s="50"/>
    </row>
    <row r="16" spans="1:10" x14ac:dyDescent="0.2">
      <c r="A16" s="48">
        <v>15</v>
      </c>
      <c r="B16" s="51"/>
      <c r="C16" s="50"/>
      <c r="D16" s="50"/>
      <c r="E16" s="49"/>
      <c r="F16" s="50"/>
      <c r="G16" s="50"/>
      <c r="H16" s="50"/>
    </row>
    <row r="17" spans="1:8" x14ac:dyDescent="0.2">
      <c r="A17" s="48">
        <v>16</v>
      </c>
      <c r="B17" s="51"/>
      <c r="C17" s="50"/>
      <c r="D17" s="50"/>
      <c r="E17" s="49"/>
      <c r="F17" s="50"/>
      <c r="G17" s="50"/>
      <c r="H17" s="50"/>
    </row>
    <row r="18" spans="1:8" x14ac:dyDescent="0.2">
      <c r="A18" s="48">
        <v>17</v>
      </c>
      <c r="B18" s="51"/>
      <c r="C18" s="50"/>
      <c r="D18" s="50"/>
      <c r="E18" s="49"/>
      <c r="F18" s="50"/>
      <c r="G18" s="50"/>
      <c r="H18" s="50"/>
    </row>
    <row r="19" spans="1:8" x14ac:dyDescent="0.2">
      <c r="A19" s="48">
        <v>18</v>
      </c>
      <c r="B19" s="51"/>
      <c r="C19" s="50"/>
      <c r="D19" s="50"/>
      <c r="E19" s="49"/>
      <c r="F19" s="50"/>
      <c r="G19" s="50"/>
      <c r="H19" s="50"/>
    </row>
    <row r="20" spans="1:8" x14ac:dyDescent="0.2">
      <c r="A20" s="48">
        <v>19</v>
      </c>
      <c r="B20" s="51"/>
      <c r="C20" s="50"/>
      <c r="D20" s="50"/>
      <c r="E20" s="49"/>
      <c r="F20" s="50"/>
      <c r="G20" s="50"/>
      <c r="H20" s="50"/>
    </row>
    <row r="21" spans="1:8" x14ac:dyDescent="0.2">
      <c r="A21" s="48">
        <v>20</v>
      </c>
      <c r="B21" s="51"/>
      <c r="C21" s="50"/>
      <c r="D21" s="50"/>
      <c r="E21" s="49"/>
      <c r="F21" s="50"/>
      <c r="G21" s="50"/>
      <c r="H21" s="50"/>
    </row>
    <row r="22" spans="1:8" x14ac:dyDescent="0.2">
      <c r="A22" s="48">
        <v>21</v>
      </c>
      <c r="B22" s="51"/>
      <c r="C22" s="50"/>
      <c r="D22" s="50"/>
      <c r="E22" s="49"/>
      <c r="F22" s="50"/>
      <c r="G22" s="50"/>
      <c r="H22" s="50"/>
    </row>
    <row r="23" spans="1:8" x14ac:dyDescent="0.2">
      <c r="A23" s="48">
        <v>22</v>
      </c>
      <c r="B23" s="51"/>
      <c r="C23" s="50"/>
      <c r="D23" s="50"/>
      <c r="E23" s="49"/>
      <c r="F23" s="50"/>
      <c r="G23" s="50"/>
      <c r="H23" s="50"/>
    </row>
    <row r="24" spans="1:8" x14ac:dyDescent="0.2">
      <c r="A24" s="48">
        <v>23</v>
      </c>
      <c r="B24" s="51"/>
      <c r="C24" s="50"/>
      <c r="D24" s="50"/>
      <c r="E24" s="49"/>
      <c r="F24" s="50"/>
      <c r="G24" s="50"/>
      <c r="H24" s="50"/>
    </row>
    <row r="25" spans="1:8" x14ac:dyDescent="0.2">
      <c r="A25" s="48">
        <v>24</v>
      </c>
      <c r="B25" s="51"/>
      <c r="C25" s="50"/>
      <c r="D25" s="50"/>
      <c r="E25" s="49"/>
      <c r="F25" s="50"/>
      <c r="G25" s="50"/>
      <c r="H25" s="50"/>
    </row>
    <row r="26" spans="1:8" x14ac:dyDescent="0.2">
      <c r="A26" s="48">
        <v>25</v>
      </c>
      <c r="B26" s="51"/>
      <c r="C26" s="50"/>
      <c r="D26" s="50"/>
      <c r="E26" s="49"/>
      <c r="F26" s="50"/>
      <c r="G26" s="50"/>
      <c r="H26" s="50"/>
    </row>
    <row r="27" spans="1:8" x14ac:dyDescent="0.2">
      <c r="A27" s="48">
        <v>26</v>
      </c>
      <c r="B27" s="51"/>
      <c r="C27" s="50"/>
      <c r="D27" s="50"/>
      <c r="E27" s="49"/>
      <c r="F27" s="50"/>
      <c r="G27" s="50"/>
      <c r="H27" s="50"/>
    </row>
    <row r="28" spans="1:8" x14ac:dyDescent="0.2">
      <c r="A28" s="48">
        <v>27</v>
      </c>
      <c r="B28" s="51"/>
      <c r="C28" s="50"/>
      <c r="D28" s="50"/>
      <c r="E28" s="49"/>
      <c r="F28" s="50"/>
      <c r="G28" s="50"/>
      <c r="H28" s="50"/>
    </row>
    <row r="29" spans="1:8" x14ac:dyDescent="0.2">
      <c r="A29" s="48">
        <v>28</v>
      </c>
      <c r="B29" s="51"/>
      <c r="C29" s="50"/>
      <c r="D29" s="50"/>
      <c r="E29" s="49"/>
      <c r="F29" s="50"/>
      <c r="G29" s="50"/>
      <c r="H29" s="50"/>
    </row>
    <row r="30" spans="1:8" x14ac:dyDescent="0.2">
      <c r="A30" s="48">
        <v>29</v>
      </c>
      <c r="B30" s="51"/>
      <c r="C30" s="50"/>
      <c r="D30" s="50"/>
      <c r="E30" s="49"/>
      <c r="F30" s="50"/>
      <c r="G30" s="50"/>
      <c r="H30" s="50"/>
    </row>
    <row r="31" spans="1:8" x14ac:dyDescent="0.2">
      <c r="A31" s="48">
        <v>30</v>
      </c>
      <c r="B31" s="51"/>
      <c r="C31" s="50"/>
      <c r="D31" s="50"/>
      <c r="E31" s="49"/>
      <c r="F31" s="50"/>
      <c r="G31" s="50"/>
      <c r="H31" s="50"/>
    </row>
    <row r="32" spans="1:8" x14ac:dyDescent="0.2">
      <c r="A32" s="48">
        <v>31</v>
      </c>
      <c r="B32" s="51"/>
      <c r="C32" s="50"/>
      <c r="D32" s="50"/>
      <c r="E32" s="49"/>
      <c r="F32" s="50"/>
      <c r="G32" s="50"/>
      <c r="H32" s="50"/>
    </row>
    <row r="33" spans="1:8" x14ac:dyDescent="0.2">
      <c r="A33" s="48">
        <v>32</v>
      </c>
      <c r="B33" s="51"/>
      <c r="C33" s="50"/>
      <c r="D33" s="50"/>
      <c r="E33" s="49"/>
      <c r="F33" s="50"/>
      <c r="G33" s="50"/>
      <c r="H33" s="50"/>
    </row>
    <row r="34" spans="1:8" x14ac:dyDescent="0.2">
      <c r="A34" s="48">
        <v>33</v>
      </c>
      <c r="B34" s="51"/>
      <c r="C34" s="50"/>
      <c r="D34" s="50"/>
      <c r="E34" s="49"/>
      <c r="F34" s="50"/>
      <c r="G34" s="50"/>
      <c r="H34" s="50"/>
    </row>
    <row r="35" spans="1:8" x14ac:dyDescent="0.2">
      <c r="A35" s="48">
        <v>34</v>
      </c>
      <c r="B35" s="51"/>
      <c r="C35" s="50"/>
      <c r="D35" s="50"/>
      <c r="E35" s="49"/>
      <c r="F35" s="50"/>
      <c r="G35" s="50"/>
      <c r="H35" s="50"/>
    </row>
    <row r="36" spans="1:8" x14ac:dyDescent="0.2">
      <c r="A36" s="48">
        <v>35</v>
      </c>
      <c r="B36" s="51"/>
      <c r="C36" s="50"/>
      <c r="D36" s="50"/>
      <c r="E36" s="49"/>
      <c r="F36" s="50"/>
      <c r="G36" s="50"/>
      <c r="H36" s="50"/>
    </row>
    <row r="37" spans="1:8" x14ac:dyDescent="0.2">
      <c r="A37" s="48">
        <v>36</v>
      </c>
      <c r="B37" s="51"/>
      <c r="C37" s="50"/>
      <c r="D37" s="50"/>
      <c r="E37" s="49"/>
      <c r="F37" s="50"/>
      <c r="G37" s="50"/>
      <c r="H37" s="50"/>
    </row>
    <row r="38" spans="1:8" x14ac:dyDescent="0.2">
      <c r="A38" s="48">
        <v>37</v>
      </c>
      <c r="B38" s="51"/>
      <c r="C38" s="50"/>
      <c r="D38" s="50"/>
      <c r="E38" s="49"/>
      <c r="F38" s="50"/>
      <c r="G38" s="50"/>
      <c r="H38" s="50"/>
    </row>
    <row r="39" spans="1:8" x14ac:dyDescent="0.2">
      <c r="A39" s="48">
        <v>38</v>
      </c>
      <c r="B39" s="51"/>
      <c r="C39" s="50"/>
      <c r="D39" s="50"/>
      <c r="E39" s="49"/>
      <c r="F39" s="50"/>
      <c r="G39" s="50"/>
      <c r="H39" s="50"/>
    </row>
    <row r="40" spans="1:8" x14ac:dyDescent="0.2">
      <c r="A40" s="48">
        <v>39</v>
      </c>
      <c r="B40" s="51"/>
      <c r="C40" s="50"/>
      <c r="D40" s="50"/>
      <c r="E40" s="49"/>
      <c r="F40" s="50"/>
      <c r="G40" s="50"/>
      <c r="H40" s="50"/>
    </row>
    <row r="41" spans="1:8" x14ac:dyDescent="0.2">
      <c r="A41" s="48">
        <v>40</v>
      </c>
      <c r="B41" s="51"/>
      <c r="C41" s="50"/>
      <c r="D41" s="50"/>
      <c r="E41" s="49"/>
      <c r="F41" s="50"/>
      <c r="G41" s="50"/>
      <c r="H41" s="50"/>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xr:uid="{00000000-0002-0000-0800-000000000000}">
      <formula1>IssueListResolvedList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BF1A9-E0FB-42AA-96BA-F630DE5BC19C}">
  <dimension ref="B1:H14"/>
  <sheetViews>
    <sheetView showGridLines="0" workbookViewId="0">
      <selection activeCell="G5" sqref="G5"/>
    </sheetView>
  </sheetViews>
  <sheetFormatPr defaultRowHeight="12.75" x14ac:dyDescent="0.2"/>
  <cols>
    <col min="1" max="1" width="3.5703125" customWidth="1"/>
    <col min="2" max="2" width="15.140625" customWidth="1"/>
    <col min="3" max="3" width="16.7109375" customWidth="1"/>
    <col min="4" max="4" width="17.7109375" customWidth="1"/>
    <col min="5" max="5" width="19.42578125" customWidth="1"/>
    <col min="6" max="6" width="18.85546875" customWidth="1"/>
    <col min="7" max="7" width="17.28515625" customWidth="1"/>
    <col min="8" max="8" width="18.28515625" customWidth="1"/>
  </cols>
  <sheetData>
    <row r="1" spans="2:8" ht="13.5" thickBot="1" x14ac:dyDescent="0.25"/>
    <row r="2" spans="2:8" s="82" customFormat="1" ht="34.5" customHeight="1" thickBot="1" x14ac:dyDescent="0.25">
      <c r="B2" s="161" t="s">
        <v>504</v>
      </c>
      <c r="C2" s="162"/>
      <c r="D2" s="162"/>
      <c r="E2" s="162"/>
      <c r="F2" s="162"/>
      <c r="G2" s="162"/>
      <c r="H2" s="163"/>
    </row>
    <row r="3" spans="2:8" ht="13.5" thickBot="1" x14ac:dyDescent="0.25"/>
    <row r="4" spans="2:8" ht="13.5" thickBot="1" x14ac:dyDescent="0.25">
      <c r="B4" s="83" t="s">
        <v>144</v>
      </c>
      <c r="C4" s="84" t="s">
        <v>27</v>
      </c>
      <c r="D4" s="85" t="s">
        <v>505</v>
      </c>
      <c r="E4" s="85" t="s">
        <v>506</v>
      </c>
      <c r="F4" s="85" t="s">
        <v>507</v>
      </c>
      <c r="G4" s="85" t="s">
        <v>508</v>
      </c>
      <c r="H4" s="86" t="s">
        <v>509</v>
      </c>
    </row>
    <row r="5" spans="2:8" x14ac:dyDescent="0.2">
      <c r="B5" s="102">
        <v>1</v>
      </c>
      <c r="C5" s="87" t="s">
        <v>510</v>
      </c>
      <c r="D5" s="88" t="s">
        <v>511</v>
      </c>
      <c r="E5" s="89">
        <v>43250</v>
      </c>
      <c r="F5" s="88" t="s">
        <v>512</v>
      </c>
      <c r="G5" s="89">
        <v>43251</v>
      </c>
      <c r="H5" s="90" t="s">
        <v>513</v>
      </c>
    </row>
    <row r="6" spans="2:8" x14ac:dyDescent="0.2">
      <c r="B6" s="91"/>
      <c r="C6" s="92"/>
      <c r="D6" s="93"/>
      <c r="E6" s="94"/>
      <c r="F6" s="93"/>
      <c r="G6" s="95"/>
      <c r="H6" s="96"/>
    </row>
    <row r="7" spans="2:8" x14ac:dyDescent="0.2">
      <c r="B7" s="91"/>
      <c r="C7" s="92"/>
      <c r="D7" s="93"/>
      <c r="E7" s="93"/>
      <c r="F7" s="93"/>
      <c r="G7" s="95"/>
      <c r="H7" s="96"/>
    </row>
    <row r="8" spans="2:8" x14ac:dyDescent="0.2">
      <c r="B8" s="91"/>
      <c r="C8" s="92"/>
      <c r="D8" s="93"/>
      <c r="E8" s="93"/>
      <c r="F8" s="93"/>
      <c r="G8" s="95"/>
      <c r="H8" s="96"/>
    </row>
    <row r="9" spans="2:8" x14ac:dyDescent="0.2">
      <c r="B9" s="91"/>
      <c r="C9" s="92"/>
      <c r="D9" s="93"/>
      <c r="E9" s="93"/>
      <c r="F9" s="93"/>
      <c r="G9" s="95"/>
      <c r="H9" s="96"/>
    </row>
    <row r="10" spans="2:8" x14ac:dyDescent="0.2">
      <c r="B10" s="91"/>
      <c r="C10" s="92"/>
      <c r="D10" s="93"/>
      <c r="E10" s="93"/>
      <c r="F10" s="93"/>
      <c r="G10" s="95"/>
      <c r="H10" s="96"/>
    </row>
    <row r="11" spans="2:8" x14ac:dyDescent="0.2">
      <c r="B11" s="91"/>
      <c r="C11" s="92"/>
      <c r="D11" s="93"/>
      <c r="E11" s="93"/>
      <c r="F11" s="93"/>
      <c r="G11" s="95"/>
      <c r="H11" s="96"/>
    </row>
    <row r="12" spans="2:8" x14ac:dyDescent="0.2">
      <c r="B12" s="91"/>
      <c r="C12" s="92"/>
      <c r="D12" s="93"/>
      <c r="E12" s="93"/>
      <c r="F12" s="93"/>
      <c r="G12" s="95"/>
      <c r="H12" s="96"/>
    </row>
    <row r="13" spans="2:8" x14ac:dyDescent="0.2">
      <c r="B13" s="91"/>
      <c r="C13" s="92"/>
      <c r="D13" s="93"/>
      <c r="E13" s="93"/>
      <c r="F13" s="93"/>
      <c r="G13" s="95"/>
      <c r="H13" s="96"/>
    </row>
    <row r="14" spans="2:8" ht="13.5" thickBot="1" x14ac:dyDescent="0.25">
      <c r="B14" s="97"/>
      <c r="C14" s="98"/>
      <c r="D14" s="99"/>
      <c r="E14" s="99"/>
      <c r="F14" s="99"/>
      <c r="G14" s="100"/>
      <c r="H14" s="101"/>
    </row>
  </sheetData>
  <mergeCells count="1">
    <mergeCell ref="B2:H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4FSMJ3P65F55-550837352-180</_dlc_DocId>
    <_dlc_DocIdUrl xmlns="9dfb6c42-d8dd-4ad2-a71a-c1f997339b44">
      <Url>https://nexteerautomotive.sharepoint.com/engineering/ASPICE/_layouts/15/DocIdRedir.aspx?ID=4FSMJ3P65F55-550837352-180</Url>
      <Description>4FSMJ3P65F55-550837352-180</Description>
    </_dlc_DocIdUrl>
    <category xmlns="c9c0f3e0-da94-4cec-aad1-c017e7c04c57">Process</category>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B8DDDB9D-ADDB-4E0A-AE49-7B1BAA3CB822}">
  <ds:schemaRefs>
    <ds:schemaRef ds:uri="http://schemas.microsoft.com/sharepoint/v3/contenttype/forms"/>
  </ds:schemaRefs>
</ds:datastoreItem>
</file>

<file path=customXml/itemProps2.xml><?xml version="1.0" encoding="utf-8"?>
<ds:datastoreItem xmlns:ds="http://schemas.openxmlformats.org/officeDocument/2006/customXml" ds:itemID="{E9AE3F80-4D7F-4CB7-B203-9A958C3A8AA4}">
  <ds:schemaRefs>
    <ds:schemaRef ds:uri="http://schemas.microsoft.com/DataMashup"/>
  </ds:schemaRefs>
</ds:datastoreItem>
</file>

<file path=customXml/itemProps3.xml><?xml version="1.0" encoding="utf-8"?>
<ds:datastoreItem xmlns:ds="http://schemas.openxmlformats.org/officeDocument/2006/customXml" ds:itemID="{72433B32-2631-43AB-AFD2-5E14F40CDDE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customXml/itemProps4.xml><?xml version="1.0" encoding="utf-8"?>
<ds:datastoreItem xmlns:ds="http://schemas.openxmlformats.org/officeDocument/2006/customXml" ds:itemID="{E1C9758B-3CF3-4736-9C31-57B251030F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2E689851-F8B3-4748-9744-09E72ED96845}">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Summary Sheet (Template)</vt:lpstr>
      <vt:lpstr>Summary Sheet</vt:lpstr>
      <vt:lpstr>SWC (Template)</vt:lpstr>
      <vt:lpstr>Data</vt:lpstr>
      <vt:lpstr>CM103A_RamMem_Impl</vt:lpstr>
      <vt:lpstr>ExternalData</vt:lpstr>
      <vt:lpstr>CustomData</vt:lpstr>
      <vt:lpstr>Change Log</vt:lpstr>
      <vt:lpstr>Issue List</vt:lpstr>
      <vt:lpstr>Version History</vt:lpstr>
      <vt:lpstr>Approved</vt:lpstr>
      <vt:lpstr>ASIL</vt:lpstr>
      <vt:lpstr>ExternalData!CBDList</vt:lpstr>
      <vt:lpstr>Checkmark</vt:lpstr>
      <vt:lpstr>IssueListResolvedList</vt:lpstr>
      <vt:lpstr>CM103A_RamMem_Impl!Print_Area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2017-07-24T13:54:37Z</cp:lastPrinted>
  <dcterms:created xsi:type="dcterms:W3CDTF">2008-03-17T15:34:05Z</dcterms:created>
  <dcterms:modified xsi:type="dcterms:W3CDTF">2018-07-31T16:08:09Z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607ac09b-104f-4c15-a5d0-6a0eb48c943f</vt:lpwstr>
  </property>
</Properties>
</file>