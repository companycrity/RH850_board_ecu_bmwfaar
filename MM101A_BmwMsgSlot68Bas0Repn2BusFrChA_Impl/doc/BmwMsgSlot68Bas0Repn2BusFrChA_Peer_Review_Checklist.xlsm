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101A_BmwMsgSlot68Bas0Repn2BusFrChA_Impl\doc\"/>
    </mc:Choice>
  </mc:AlternateContent>
  <xr:revisionPtr revIDLastSave="0" documentId="13_ncr:1_{3194A527-901A-44F3-AFB2-87D7FE1B1BFA}"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<sst xmlns="http://schemas.openxmlformats.org/spreadsheetml/2006/main" count="1233" uniqueCount="349">
  <si>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</si>
  <si>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</si>
  <si>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</si>
  <si>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</si>
  <si>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</si>
  <si>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</si>
  <si>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</si>
  <si>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</si>
  <si>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</si>
  <si>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</si>
  <si>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</si>
  <si>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</si>
  <si>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</si>
  <si>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</si>
  <si>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</si>
  <si>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</si>
  <si>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</si>
  <si>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</si>
  <si>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</si>
  <si>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</si>
  <si>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</si>
  <si>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</si>
  <si>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</si>
  <si>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</si>
  <si>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</si>
  <si>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</si>
  <si>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</si>
  <si>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</si>
  <si>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</si>
  <si>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</si>
  <si>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</si>
  <si>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</si>
  <si>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</si>
  <si>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</si>
  <si>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</si>
  <si>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</si>
  <si>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</si>
  <si>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</si>
  <si>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</si>
  <si>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</si>
  <si>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</si>
  <si>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</si>
  <si>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</si>
  <si>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</si>
  <si>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</si>
  <si>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</si>
  <si>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</si>
  <si>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</si>
  <si>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</si>
  <si>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</si>
  <si>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</si>
  <si>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</si>
  <si>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</si>
  <si>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</si>
  <si>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</si>
  <si>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</si>
  <si>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</si>
  <si>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</si>
  <si>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</si>
  <si>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</si>
  <si>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</si>
  <si>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</si>
  <si>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</si>
  <si>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</si>
  <si>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</si>
  <si>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</si>
  <si>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</si>
  <si>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</si>
  <si>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</si>
  <si>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</si>
  <si>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</si>
  <si>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</si>
  <si>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</si>
  <si>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</si>
  <si>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</si>
  <si>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</si>
  <si>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</si>
  <si>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</si>
  <si>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</si>
  <si>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</si>
  <si>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</si>
  <si>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</si>
  <si>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</si>
  <si>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</si>
  <si>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</si>
  <si>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</si>
  <si>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</si>
  <si>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</si>
  <si>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</si>
  <si>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</si>
  <si>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</si>
  <si>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</si>
  <si>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</si>
  <si>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</si>
  <si>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</si>
  <si>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</si>
  <si>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</si>
  <si>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</si>
  <si>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</si>
  <si>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</si>
  <si>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</si>
  <si>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</si>
  <si>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</si>
  <si>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</si>
  <si>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</si>
  <si>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</si>
  <si>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</si>
  <si>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</si>
  <si>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</si>
  <si>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</si>
  <si>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</si>
  <si>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</si>
  <si>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</si>
  <si>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</si>
  <si>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</si>
  <si>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</si>
  <si>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</si>
  <si>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</si>
  <si>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</si>
  <si>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</si>
  <si>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</si>
  <si>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</si>
  <si>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</si>
  <si>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</si>
  <si>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</si>
  <si>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</si>
  <si>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</si>
  <si>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</si>
  <si>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</si>
  <si>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</si>
  <si>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</si>
  <si>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</si>
  <si>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</si>
  <si>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</si>
  <si>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</si>
  <si>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</si>
  <si>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</si>
  <si>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</si>
  <si>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</si>
  <si>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</si>
  <si>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</si>
  <si>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</si>
  <si>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</si>
  <si>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</si>
  <si>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</si>
  <si>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</si>
  <si>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</si>
  <si>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</si>
  <si>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</si>
  <si>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</si>
  <si>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</si>
  <si>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</si>
  <si>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</si>
  <si>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</si>
  <si>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</si>
  <si>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</si>
  <si>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</si>
  <si>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</si>
  <si>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</si>
  <si>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</si>
  <si>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</si>
  <si>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</si>
  <si>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</si>
  <si>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</si>
  <si>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</si>
  <si>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</si>
  <si>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</si>
  <si>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</si>
  <si>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</si>
  <si>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</si>
  <si>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</si>
  <si>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</si>
  <si>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</si>
  <si>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</si>
  <si>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</si>
  <si>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</si>
  <si>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</si>
  <si>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</si>
  <si>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</si>
  <si>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</si>
  <si>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</si>
  <si>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</si>
  <si>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</si>
  <si>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</si>
  <si>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</si>
  <si>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</si>
  <si>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</si>
  <si>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</si>
  <si>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</si>
  <si>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</si>
  <si>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</si>
  <si>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</si>
  <si>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</si>
  <si>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</si>
  <si>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</si>
  <si>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</si>
  <si>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</si>
  <si>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</si>
  <si>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</si>
  <si>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</si>
  <si>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</si>
  <si>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</si>
  <si>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</si>
  <si>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</si>
  <si>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</si>
  <si>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</si>
  <si>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</si>
  <si>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</si>
  <si>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</si>
  <si>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</si>
  <si>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</si>
  <si>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</si>
  <si>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</si>
  <si>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</si>
  <si>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</si>
  <si>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</si>
  <si>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</si>
  <si>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</si>
  <si>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</si>
  <si>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</si>
  <si>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</si>
  <si>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</si>
  <si>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</si>
  <si>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</si>
  <si>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</si>
  <si>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</si>
  <si>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</si>
  <si>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</si>
  <si>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</si>
  <si>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</si>
  <si>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</si>
  <si>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</si>
  <si>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</si>
  <si>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</si>
  <si>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</si>
  <si>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</si>
  <si>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</si>
  <si>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</si>
  <si>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</si>
  <si>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</si>
  <si>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</si>
  <si>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</si>
  <si>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</si>
  <si>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</si>
  <si>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</si>
  <si>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</si>
  <si>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</si>
  <si>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</si>
  <si>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</si>
  <si>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</si>
  <si>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</si>
  <si>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</si>
  <si>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</si>
  <si>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</si>
  <si>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</si>
  <si>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</si>
  <si>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</si>
  <si>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</si>
  <si>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</si>
  <si>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</si>
  <si>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</si>
  <si>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</si>
  <si>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</si>
  <si>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</si>
  <si>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</si>
  <si>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</si>
  <si>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</si>
  <si>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</si>
  <si>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</si>
  <si>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</si>
  <si>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</si>
  <si>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</si>
  <si>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</si>
  <si>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</si>
  <si>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</si>
  <si>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</si>
  <si>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</si>
  <si>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</si>
  <si>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</si>
  <si>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</si>
  <si>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</si>
  <si>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</si>
  <si>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</si>
  <si>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</si>
  <si>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</si>
  <si>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</si>
  <si>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</si>
  <si>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</si>
  <si>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</si>
  <si>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</si>
  <si>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</si>
  <si>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</si>
  <si>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</si>
  <si>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</si>
  <si>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</si>
  <si>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</si>
  <si>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</si>
  <si>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</si>
  <si>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</si>
  <si>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</si>
  <si>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</si>
  <si>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</si>
  <si>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</si>
  <si>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</si>
  <si>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</si>
  <si>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</si>
  <si>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</si>
  <si>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</si>
  <si>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</si>
  <si>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</si>
  <si>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</si>
  <si>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</si>
  <si>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</si>
  <si>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</si>
  <si>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</si>
  <si>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</si>
  <si>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</si>
  <si>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</si>
  <si>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</si>
  <si>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</si>
  <si>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</si>
  <si>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</si>
  <si>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</si>
  <si>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</si>
  <si>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</si>
  <si>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</si>
  <si>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</si>
  <si>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</si>
  <si>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</si>
  <si>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</si>
  <si>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</si>
  <si>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</si>
  <si>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</si>
  <si>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</si>
  <si>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BmwMsgSlot68Bas0Repn2BusFrChA</t>
  </si>
  <si>
    <t>Deviations approved by Kevin Smith</t>
  </si>
  <si>
    <t>BMW port interfaces are not standard and are required</t>
  </si>
  <si>
    <t>Application</t>
  </si>
  <si>
    <t>BmwMsgSlot68Bas0Repn2BusFrChA.c</t>
  </si>
  <si>
    <t>Kevin Smith</t>
  </si>
  <si>
    <t>2.4.0</t>
  </si>
  <si>
    <t>Comments: Code was compared against requirements</t>
  </si>
  <si>
    <t>Comments: Several new metric standards are not met.</t>
  </si>
  <si>
    <t>Comments: Design not completed</t>
  </si>
  <si>
    <t>Pratik Jadhav</t>
  </si>
  <si>
    <t>EA4#24792</t>
  </si>
  <si>
    <t>MM101A_BmwMsgSlot68Bas0Repn2BusFrChA_Impl_0.5.0</t>
  </si>
  <si>
    <t>Akilan Rathakrishnan</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</si>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</sst>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AE7" sqref="AE7"/>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9" t="s">
        <v>334</v>
      </c>
      <c r="I4" s="165"/>
      <c r="J4" s="165"/>
      <c r="K4" s="165"/>
      <c r="L4" s="165"/>
      <c r="M4" s="165"/>
      <c r="N4" s="26"/>
      <c r="O4" s="109" t="s">
        <v>1</v>
      </c>
      <c r="P4" s="109"/>
      <c r="Q4" s="109"/>
      <c r="R4" s="109"/>
      <c r="S4" s="153" t="s">
        <v>346</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344</v>
      </c>
      <c r="H6" s="153"/>
      <c r="I6" s="153"/>
      <c r="J6" s="153"/>
      <c r="K6" s="153"/>
      <c r="L6" s="153"/>
      <c r="M6" s="153"/>
      <c r="N6" s="153"/>
      <c r="O6" s="153"/>
      <c r="Q6" s="109" t="s">
        <v>3</v>
      </c>
      <c r="R6" s="109"/>
      <c r="S6" s="109"/>
      <c r="T6" s="6"/>
      <c r="U6" s="153" t="s">
        <v>345</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6" t="s">
        <v>335</v>
      </c>
      <c r="H31" s="167"/>
      <c r="I31" s="167"/>
      <c r="J31" s="167"/>
      <c r="K31" s="167"/>
      <c r="L31" s="167"/>
      <c r="M31" s="167"/>
      <c r="N31" s="167"/>
      <c r="O31" s="167"/>
      <c r="P31" s="167"/>
      <c r="Q31" s="167"/>
      <c r="R31" s="167"/>
      <c r="S31" s="167"/>
      <c r="T31" s="167"/>
      <c r="U31" s="167"/>
      <c r="V31" s="167"/>
      <c r="W31" s="167"/>
      <c r="X31" s="167"/>
      <c r="Y31" s="167"/>
      <c r="Z31" s="167"/>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50</v>
      </c>
      <c r="H43" s="142"/>
      <c r="I43" s="143"/>
      <c r="J43" s="3"/>
      <c r="K43" s="3"/>
      <c r="L43" s="3"/>
      <c r="M43" s="112" t="s">
        <v>278</v>
      </c>
      <c r="N43" s="111"/>
      <c r="O43" s="111"/>
      <c r="P43" s="111"/>
      <c r="Q43" s="111"/>
      <c r="R43" s="3"/>
      <c r="S43" s="141">
        <v>5</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0" zoomScale="115" zoomScaleNormal="115" workbookViewId="0">
      <selection activeCell="H35" sqref="H35:L35"/>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5">
      <c r="C9" s="173"/>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5">
      <c r="C12" s="173"/>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5">
      <c r="C15" s="173"/>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t="s">
        <v>9</v>
      </c>
      <c r="P17" s="84"/>
      <c r="Q17" s="166" t="s">
        <v>343</v>
      </c>
      <c r="R17" s="166"/>
      <c r="S17" s="166"/>
      <c r="T17" s="166"/>
      <c r="U17" s="166"/>
      <c r="V17" s="166"/>
      <c r="W17" s="166"/>
      <c r="X17" s="166"/>
      <c r="Y17" s="166"/>
      <c r="Z17" s="166"/>
      <c r="AA17" s="3"/>
    </row>
    <row r="18" spans="3:27" x14ac:dyDescent="0.25">
      <c r="C18" s="173"/>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5">
      <c r="C21" s="135"/>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5">
      <c r="C24" s="135"/>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344</v>
      </c>
      <c r="H33" s="153"/>
      <c r="I33" s="153"/>
      <c r="J33" s="153"/>
      <c r="K33" s="153"/>
      <c r="L33" s="153"/>
      <c r="M33" s="84"/>
      <c r="N33" s="84"/>
      <c r="O33" s="84"/>
      <c r="P33" s="15" t="s">
        <v>31</v>
      </c>
      <c r="Q33" s="15"/>
      <c r="R33" s="15"/>
      <c r="S33" s="171">
        <v>43257</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347</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339</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H95" sqref="H95:L95"/>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0" t="str">
        <f>'Summary Sheet (Template)'!X1:Y1</f>
        <v>Rev 2.01</v>
      </c>
      <c r="Y1" s="150"/>
      <c r="Z1" s="172">
        <f>'Summary Sheet (Template)'!Z1:AA1</f>
        <v>43152</v>
      </c>
      <c r="AA1" s="184"/>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L6" s="84"/>
      <c r="M6" s="18"/>
      <c r="N6" s="18"/>
      <c r="O6" s="4" t="s">
        <v>20</v>
      </c>
      <c r="P6" s="36" t="s">
        <v>221</v>
      </c>
      <c r="Q6" s="18"/>
      <c r="R6" s="17" t="s">
        <v>15</v>
      </c>
      <c r="S6" s="22"/>
      <c r="T6" s="17"/>
      <c r="U6" s="186"/>
      <c r="V6" s="186"/>
      <c r="W6" s="186"/>
      <c r="X6" s="186"/>
      <c r="Y6" s="186"/>
      <c r="Z6" s="186"/>
      <c r="AA6" s="186"/>
      <c r="AB6" s="3"/>
      <c r="AC6" s="2"/>
    </row>
    <row r="7" spans="3:29" ht="15.75" customHeight="1" x14ac:dyDescent="0.3">
      <c r="C7" s="185"/>
      <c r="E7" s="85" t="s">
        <v>40</v>
      </c>
      <c r="F7" s="84"/>
      <c r="G7" s="84"/>
      <c r="H7" s="84"/>
      <c r="I7" s="84"/>
      <c r="J7" s="45"/>
      <c r="L7" s="84"/>
      <c r="M7" s="18"/>
      <c r="N7" s="18"/>
      <c r="O7" s="4"/>
      <c r="P7" s="91"/>
      <c r="Q7" s="18"/>
      <c r="R7" s="187" t="s">
        <v>336</v>
      </c>
      <c r="S7" s="187"/>
      <c r="T7" s="187"/>
      <c r="U7" s="187"/>
      <c r="V7" s="187"/>
      <c r="W7" s="187"/>
      <c r="X7" s="187"/>
      <c r="Y7" s="187"/>
      <c r="Z7" s="187"/>
      <c r="AA7" s="187"/>
      <c r="AB7" s="3"/>
      <c r="AC7" s="2"/>
    </row>
    <row r="8" spans="3:29" ht="15.6" x14ac:dyDescent="0.3">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5"/>
      <c r="D10" s="18" t="s">
        <v>42</v>
      </c>
      <c r="E10" s="18"/>
      <c r="F10" s="19"/>
      <c r="G10" s="18"/>
      <c r="H10" s="18"/>
      <c r="I10" s="20"/>
      <c r="J10" s="20"/>
      <c r="K10" s="20"/>
      <c r="L10" s="18"/>
      <c r="M10" s="18"/>
      <c r="N10" s="18"/>
      <c r="O10" s="4" t="s">
        <v>20</v>
      </c>
      <c r="P10" s="36" t="s">
        <v>221</v>
      </c>
      <c r="Q10" s="18"/>
      <c r="R10" s="17" t="s">
        <v>15</v>
      </c>
      <c r="S10" s="22"/>
      <c r="T10" s="17"/>
      <c r="U10" s="186"/>
      <c r="V10" s="186"/>
      <c r="W10" s="186"/>
      <c r="X10" s="186"/>
      <c r="Y10" s="186"/>
      <c r="Z10" s="186"/>
      <c r="AA10" s="186"/>
      <c r="AB10" s="3"/>
      <c r="AC10" s="2"/>
    </row>
    <row r="11" spans="3:29"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t="s">
        <v>221</v>
      </c>
      <c r="Q13" s="18"/>
      <c r="R13" s="17" t="s">
        <v>15</v>
      </c>
      <c r="S13" s="22"/>
      <c r="T13" s="17"/>
      <c r="U13" s="186"/>
      <c r="V13" s="186"/>
      <c r="W13" s="186"/>
      <c r="X13" s="186"/>
      <c r="Y13" s="186"/>
      <c r="Z13" s="186"/>
      <c r="AA13" s="186"/>
      <c r="AB13" s="3"/>
      <c r="AC13" s="2"/>
    </row>
    <row r="14" spans="3:29" ht="15.6" x14ac:dyDescent="0.3">
      <c r="C14" s="185"/>
      <c r="E14" s="18" t="s">
        <v>44</v>
      </c>
      <c r="F14" s="19"/>
      <c r="G14" s="18"/>
      <c r="H14" s="18"/>
      <c r="I14" s="20"/>
      <c r="J14" s="20"/>
      <c r="K14" s="20"/>
      <c r="L14" s="18"/>
      <c r="M14" s="18"/>
      <c r="N14" s="18"/>
      <c r="O14" s="4"/>
      <c r="P14" s="3"/>
      <c r="Q14" s="18"/>
      <c r="R14" s="187" t="s">
        <v>336</v>
      </c>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t="s">
        <v>220</v>
      </c>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E21" s="18" t="s">
        <v>49</v>
      </c>
      <c r="F21" s="19"/>
      <c r="G21" s="18"/>
      <c r="H21" s="18"/>
      <c r="I21" s="20"/>
      <c r="J21" s="20"/>
      <c r="K21" s="20"/>
      <c r="L21" s="18"/>
      <c r="M21" s="18"/>
      <c r="N21" s="18"/>
      <c r="O21" s="4"/>
      <c r="P21" s="3"/>
      <c r="Q21" s="18"/>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t="s">
        <v>221</v>
      </c>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5"/>
      <c r="D31" s="18" t="s">
        <v>55</v>
      </c>
      <c r="E31" s="18"/>
      <c r="F31" s="19"/>
      <c r="G31" s="18"/>
      <c r="H31" s="18"/>
      <c r="I31" s="20"/>
      <c r="J31" s="18"/>
      <c r="K31" s="18"/>
      <c r="L31" s="19"/>
      <c r="M31" s="18"/>
      <c r="N31" s="18"/>
      <c r="O31" s="84" t="s">
        <v>20</v>
      </c>
      <c r="P31" s="36" t="s">
        <v>221</v>
      </c>
      <c r="Q31" s="84"/>
      <c r="R31" s="3" t="s">
        <v>15</v>
      </c>
      <c r="S31" s="6"/>
      <c r="T31" s="3"/>
      <c r="U31" s="179"/>
      <c r="V31" s="179"/>
      <c r="W31" s="179"/>
      <c r="X31" s="179"/>
      <c r="Y31" s="179"/>
      <c r="Z31" s="179"/>
      <c r="AA31" s="179"/>
      <c r="AB31" s="3"/>
      <c r="AC31" s="2"/>
    </row>
    <row r="32" spans="3:29"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t="s">
        <v>336</v>
      </c>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t="s">
        <v>336</v>
      </c>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5"/>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5"/>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6" x14ac:dyDescent="0.3">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5"/>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6" x14ac:dyDescent="0.3">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6" x14ac:dyDescent="0.3">
      <c r="D86" s="170"/>
      <c r="E86" s="170"/>
      <c r="F86" s="170"/>
      <c r="G86" s="170"/>
      <c r="H86" s="170"/>
      <c r="I86" s="170"/>
      <c r="J86" s="170"/>
      <c r="K86" s="170"/>
      <c r="L86" s="170"/>
      <c r="M86" s="170"/>
      <c r="N86" s="170"/>
      <c r="O86" s="170"/>
      <c r="P86" s="170"/>
      <c r="Q86" s="170"/>
      <c r="R86" s="170"/>
      <c r="S86" s="170"/>
      <c r="T86" s="170"/>
      <c r="U86" s="170"/>
      <c r="V86" s="170"/>
      <c r="W86" s="170"/>
      <c r="X86" s="170"/>
      <c r="Y86" s="170"/>
      <c r="Z86" s="170"/>
      <c r="AA86" s="170"/>
      <c r="AB86" s="84"/>
      <c r="AC86" s="2"/>
    </row>
    <row r="87" spans="3:29" ht="15.6" x14ac:dyDescent="0.3">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6" x14ac:dyDescent="0.3">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344</v>
      </c>
      <c r="H93" s="154"/>
      <c r="I93" s="154"/>
      <c r="J93" s="154"/>
      <c r="K93" s="154"/>
      <c r="L93" s="154"/>
      <c r="M93" s="72"/>
      <c r="O93" s="15" t="s">
        <v>31</v>
      </c>
      <c r="R93" s="171">
        <v>43259</v>
      </c>
      <c r="S93" s="171"/>
      <c r="U93" s="84" t="s">
        <v>87</v>
      </c>
      <c r="Y93" s="171" t="s">
        <v>337</v>
      </c>
      <c r="Z93" s="171"/>
      <c r="AB93" s="9"/>
    </row>
    <row r="94" spans="3:29" x14ac:dyDescent="0.25">
      <c r="C94" s="8"/>
      <c r="AB94" s="9"/>
    </row>
    <row r="95" spans="3:29" ht="13.8" thickBot="1" x14ac:dyDescent="0.3">
      <c r="C95" s="8"/>
      <c r="D95" s="3" t="s">
        <v>32</v>
      </c>
      <c r="E95" s="6"/>
      <c r="F95" s="21"/>
      <c r="G95" s="21"/>
      <c r="H95" s="153" t="s">
        <v>348</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83"/>
      <c r="E99" s="183"/>
      <c r="F99" s="183"/>
      <c r="G99" s="183"/>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339</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H143" sqref="H143:L143"/>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338</v>
      </c>
      <c r="H4" s="153"/>
      <c r="I4" s="153"/>
      <c r="J4" s="153"/>
      <c r="K4" s="153"/>
      <c r="L4" s="153"/>
      <c r="M4" s="153"/>
      <c r="N4" s="153"/>
      <c r="O4" s="153"/>
      <c r="P4" s="153"/>
      <c r="Q4" s="153"/>
      <c r="R4" s="84"/>
      <c r="S4" s="111" t="s">
        <v>92</v>
      </c>
      <c r="T4" s="111"/>
      <c r="U4" s="111"/>
      <c r="V4" s="40"/>
      <c r="W4" s="153">
        <v>5</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329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330</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220</v>
      </c>
      <c r="P18" s="84"/>
      <c r="Q18" s="166" t="s">
        <v>15</v>
      </c>
      <c r="R18" s="166"/>
      <c r="S18" s="166"/>
      <c r="T18" s="166"/>
      <c r="U18" s="166"/>
      <c r="V18" s="166"/>
      <c r="W18" s="166"/>
      <c r="X18" s="166"/>
      <c r="Y18" s="166"/>
      <c r="Z18" s="166"/>
      <c r="AA18" s="3"/>
      <c r="AB18" s="2"/>
    </row>
    <row r="19" spans="3:28" ht="15.6" x14ac:dyDescent="0.3">
      <c r="C19" s="190"/>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220</v>
      </c>
      <c r="P21" s="84"/>
      <c r="Q21" s="166" t="s">
        <v>15</v>
      </c>
      <c r="R21" s="166"/>
      <c r="S21" s="166"/>
      <c r="T21" s="166"/>
      <c r="U21" s="166"/>
      <c r="V21" s="166"/>
      <c r="W21" s="166"/>
      <c r="X21" s="166"/>
      <c r="Y21" s="166"/>
      <c r="Z21" s="166"/>
      <c r="AA21" s="3"/>
      <c r="AB21" s="2"/>
    </row>
    <row r="22" spans="3:28" ht="15.6" x14ac:dyDescent="0.3">
      <c r="C22" s="190"/>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166" t="s">
        <v>15</v>
      </c>
      <c r="R24" s="166"/>
      <c r="S24" s="166"/>
      <c r="T24" s="166"/>
      <c r="U24" s="166"/>
      <c r="V24" s="166"/>
      <c r="W24" s="166"/>
      <c r="X24" s="166"/>
      <c r="Y24" s="166"/>
      <c r="Z24" s="166"/>
      <c r="AA24" s="3"/>
      <c r="AB24" s="2"/>
    </row>
    <row r="25" spans="3:28" ht="15.6" x14ac:dyDescent="0.3">
      <c r="C25" s="190"/>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221</v>
      </c>
      <c r="P27" s="84"/>
      <c r="Q27" s="166" t="s">
        <v>15</v>
      </c>
      <c r="R27" s="166"/>
      <c r="S27" s="166"/>
      <c r="T27" s="166"/>
      <c r="U27" s="166"/>
      <c r="V27" s="166"/>
      <c r="W27" s="166"/>
      <c r="X27" s="166"/>
      <c r="Y27" s="166"/>
      <c r="Z27" s="166"/>
      <c r="AA27" s="3"/>
      <c r="AB27" s="2"/>
    </row>
    <row r="28" spans="3:28" ht="15.6" x14ac:dyDescent="0.3">
      <c r="C28" s="190"/>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221</v>
      </c>
      <c r="P30" s="84"/>
      <c r="Q30" s="166" t="s">
        <v>15</v>
      </c>
      <c r="R30" s="166"/>
      <c r="S30" s="166"/>
      <c r="T30" s="166"/>
      <c r="U30" s="166"/>
      <c r="V30" s="166"/>
      <c r="W30" s="166"/>
      <c r="X30" s="166"/>
      <c r="Y30" s="166"/>
      <c r="Z30" s="166"/>
      <c r="AA30" s="3"/>
      <c r="AB30" s="2"/>
    </row>
    <row r="31" spans="3:28" ht="15.6" x14ac:dyDescent="0.3">
      <c r="C31" s="190"/>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6" x14ac:dyDescent="0.3">
      <c r="C34" s="190"/>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221</v>
      </c>
      <c r="P36" s="84"/>
      <c r="Q36" s="166" t="s">
        <v>15</v>
      </c>
      <c r="R36" s="166"/>
      <c r="S36" s="166"/>
      <c r="T36" s="166"/>
      <c r="U36" s="166"/>
      <c r="V36" s="166"/>
      <c r="W36" s="166"/>
      <c r="X36" s="166"/>
      <c r="Y36" s="166"/>
      <c r="Z36" s="166"/>
      <c r="AA36" s="3"/>
      <c r="AB36" s="2"/>
    </row>
    <row r="37" spans="3:28" ht="15.6" x14ac:dyDescent="0.3">
      <c r="C37" s="190"/>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6" x14ac:dyDescent="0.3">
      <c r="C40" s="190"/>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6" x14ac:dyDescent="0.3">
      <c r="C43" s="190"/>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221</v>
      </c>
      <c r="P46" s="84"/>
      <c r="Q46" s="166" t="s">
        <v>341</v>
      </c>
      <c r="R46" s="166"/>
      <c r="S46" s="166"/>
      <c r="T46" s="166"/>
      <c r="U46" s="166"/>
      <c r="V46" s="166"/>
      <c r="W46" s="166"/>
      <c r="X46" s="166"/>
      <c r="Y46" s="166"/>
      <c r="Z46" s="166"/>
      <c r="AA46" s="3"/>
      <c r="AB46" s="2"/>
    </row>
    <row r="47" spans="3:28" ht="15.6" x14ac:dyDescent="0.3">
      <c r="C47" s="190"/>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166" t="s">
        <v>15</v>
      </c>
      <c r="R51" s="166"/>
      <c r="S51" s="166"/>
      <c r="T51" s="166"/>
      <c r="U51" s="166"/>
      <c r="V51" s="166"/>
      <c r="W51" s="166"/>
      <c r="X51" s="166"/>
      <c r="Y51" s="166"/>
      <c r="Z51" s="166"/>
      <c r="AA51" s="3"/>
      <c r="AB51" s="2"/>
    </row>
    <row r="52" spans="3:28" ht="15.6" x14ac:dyDescent="0.3">
      <c r="C52" s="190"/>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6" x14ac:dyDescent="0.3">
      <c r="C57" s="190"/>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6" x14ac:dyDescent="0.3">
      <c r="C61" s="190"/>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220</v>
      </c>
      <c r="P63" s="84"/>
      <c r="Q63" s="166" t="s">
        <v>15</v>
      </c>
      <c r="R63" s="166"/>
      <c r="S63" s="166"/>
      <c r="T63" s="166"/>
      <c r="U63" s="166"/>
      <c r="V63" s="166"/>
      <c r="W63" s="166"/>
      <c r="X63" s="166"/>
      <c r="Y63" s="166"/>
      <c r="Z63" s="166"/>
      <c r="AA63" s="3"/>
      <c r="AB63" s="2"/>
    </row>
    <row r="64" spans="3:28" ht="15.6" x14ac:dyDescent="0.3">
      <c r="C64" s="190"/>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331</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221</v>
      </c>
      <c r="P68" s="84"/>
      <c r="Q68" s="166" t="s">
        <v>15</v>
      </c>
      <c r="R68" s="166"/>
      <c r="S68" s="166"/>
      <c r="T68" s="166"/>
      <c r="U68" s="166"/>
      <c r="V68" s="166"/>
      <c r="W68" s="166"/>
      <c r="X68" s="166"/>
      <c r="Y68" s="166"/>
      <c r="Z68" s="166"/>
      <c r="AA68" s="3"/>
      <c r="AB68" s="2"/>
    </row>
    <row r="69" spans="3:28" ht="15.6" x14ac:dyDescent="0.3">
      <c r="C69" s="190"/>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6" x14ac:dyDescent="0.3">
      <c r="C75" s="190"/>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221</v>
      </c>
      <c r="P77" s="84"/>
      <c r="Q77" s="166" t="s">
        <v>15</v>
      </c>
      <c r="R77" s="166"/>
      <c r="S77" s="166"/>
      <c r="T77" s="166"/>
      <c r="U77" s="166"/>
      <c r="V77" s="166"/>
      <c r="W77" s="166"/>
      <c r="X77" s="166"/>
      <c r="Y77" s="166"/>
      <c r="Z77" s="166"/>
      <c r="AA77" s="3"/>
      <c r="AB77" s="2"/>
    </row>
    <row r="78" spans="3:28" ht="15.6" x14ac:dyDescent="0.3">
      <c r="C78" s="190"/>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166" t="s">
        <v>15</v>
      </c>
      <c r="R80" s="166"/>
      <c r="S80" s="166"/>
      <c r="T80" s="166"/>
      <c r="U80" s="166"/>
      <c r="V80" s="166"/>
      <c r="W80" s="166"/>
      <c r="X80" s="166"/>
      <c r="Y80" s="166"/>
      <c r="Z80" s="166"/>
      <c r="AA80" s="3"/>
      <c r="AB80" s="2"/>
    </row>
    <row r="81" spans="3:28" ht="15.6" x14ac:dyDescent="0.3">
      <c r="C81" s="190"/>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220</v>
      </c>
      <c r="P84" s="84"/>
      <c r="Q84" s="166" t="s">
        <v>15</v>
      </c>
      <c r="R84" s="166"/>
      <c r="S84" s="166"/>
      <c r="T84" s="166"/>
      <c r="U84" s="166"/>
      <c r="V84" s="166"/>
      <c r="W84" s="166"/>
      <c r="X84" s="166"/>
      <c r="Y84" s="166"/>
      <c r="Z84" s="166"/>
      <c r="AA84" s="3"/>
      <c r="AB84" s="2"/>
    </row>
    <row r="85" spans="3:28" ht="15.6" x14ac:dyDescent="0.3">
      <c r="C85" s="190"/>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6" x14ac:dyDescent="0.3">
      <c r="C88" s="190"/>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6" x14ac:dyDescent="0.3">
      <c r="C91" s="190"/>
      <c r="D91" s="84"/>
      <c r="E91" s="64" t="s">
        <v>144</v>
      </c>
      <c r="F91" s="64"/>
      <c r="G91" s="64"/>
      <c r="H91" s="64"/>
      <c r="I91" s="20"/>
      <c r="J91" s="20"/>
      <c r="K91" s="20"/>
      <c r="L91" s="64"/>
      <c r="M91" s="64"/>
      <c r="N91" s="138"/>
      <c r="O91" s="15"/>
      <c r="P91" s="138"/>
      <c r="Q91" s="170"/>
      <c r="R91" s="170"/>
      <c r="S91" s="170"/>
      <c r="T91" s="170"/>
      <c r="U91" s="170"/>
      <c r="V91" s="170"/>
      <c r="W91" s="170"/>
      <c r="X91" s="170"/>
      <c r="Y91" s="170"/>
      <c r="Z91" s="170"/>
      <c r="AA91" s="15"/>
      <c r="AB91" s="2"/>
    </row>
    <row r="92" spans="3:28" ht="15.6" x14ac:dyDescent="0.3">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0"/>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6" x14ac:dyDescent="0.3">
      <c r="C94" s="190"/>
      <c r="D94" s="84"/>
      <c r="E94" s="138" t="s">
        <v>146</v>
      </c>
      <c r="F94" s="138"/>
      <c r="G94" s="138"/>
      <c r="H94" s="138"/>
      <c r="I94" s="45"/>
      <c r="J94" s="45"/>
      <c r="K94" s="45"/>
      <c r="L94" s="138"/>
      <c r="M94" s="138"/>
      <c r="N94" s="138"/>
      <c r="O94" s="15"/>
      <c r="P94" s="138"/>
      <c r="Q94" s="170"/>
      <c r="R94" s="170"/>
      <c r="S94" s="170"/>
      <c r="T94" s="170"/>
      <c r="U94" s="170"/>
      <c r="V94" s="170"/>
      <c r="W94" s="170"/>
      <c r="X94" s="170"/>
      <c r="Y94" s="170"/>
      <c r="Z94" s="170"/>
      <c r="AA94" s="15"/>
      <c r="AB94" s="2"/>
    </row>
    <row r="95" spans="3:28" ht="15.6" x14ac:dyDescent="0.3">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6" x14ac:dyDescent="0.3">
      <c r="C97" s="190"/>
      <c r="D97" s="84"/>
      <c r="E97" s="138" t="s">
        <v>148</v>
      </c>
      <c r="F97" s="138"/>
      <c r="G97" s="138"/>
      <c r="H97" s="138"/>
      <c r="I97" s="45"/>
      <c r="J97" s="45"/>
      <c r="K97" s="45"/>
      <c r="L97" s="138"/>
      <c r="M97" s="138"/>
      <c r="N97" s="138"/>
      <c r="O97" s="15"/>
      <c r="P97" s="138"/>
      <c r="Q97" s="170"/>
      <c r="R97" s="170"/>
      <c r="S97" s="170"/>
      <c r="T97" s="170"/>
      <c r="U97" s="170"/>
      <c r="V97" s="170"/>
      <c r="W97" s="170"/>
      <c r="X97" s="170"/>
      <c r="Y97" s="170"/>
      <c r="Z97" s="170"/>
      <c r="AA97" s="15"/>
      <c r="AB97" s="2"/>
    </row>
    <row r="98" spans="3:28" ht="15.6" x14ac:dyDescent="0.3">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6" x14ac:dyDescent="0.3">
      <c r="C100" s="190"/>
      <c r="D100" s="84"/>
      <c r="E100" s="138" t="s">
        <v>150</v>
      </c>
      <c r="F100" s="138"/>
      <c r="G100" s="138"/>
      <c r="H100" s="138"/>
      <c r="I100" s="45"/>
      <c r="J100" s="45"/>
      <c r="K100" s="45"/>
      <c r="L100" s="138"/>
      <c r="M100" s="138"/>
      <c r="N100" s="138"/>
      <c r="O100" s="15"/>
      <c r="P100" s="138"/>
      <c r="Q100" s="170"/>
      <c r="R100" s="170"/>
      <c r="S100" s="170"/>
      <c r="T100" s="170"/>
      <c r="U100" s="170"/>
      <c r="V100" s="170"/>
      <c r="W100" s="170"/>
      <c r="X100" s="170"/>
      <c r="Y100" s="170"/>
      <c r="Z100" s="170"/>
      <c r="AA100" s="15"/>
      <c r="AB100" s="2"/>
    </row>
    <row r="101" spans="3:28" ht="15.6" x14ac:dyDescent="0.3">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0"/>
      <c r="D102" s="84"/>
      <c r="E102" s="138" t="s">
        <v>151</v>
      </c>
      <c r="F102" s="138"/>
      <c r="G102" s="138"/>
      <c r="H102" s="138"/>
      <c r="I102" s="45"/>
      <c r="J102" s="45"/>
      <c r="K102" s="45"/>
      <c r="L102" s="138"/>
      <c r="M102" s="138"/>
      <c r="N102" s="138" t="s">
        <v>20</v>
      </c>
      <c r="O102" s="36" t="s">
        <v>221</v>
      </c>
      <c r="P102" s="138"/>
      <c r="Q102" s="166" t="s">
        <v>15</v>
      </c>
      <c r="R102" s="166"/>
      <c r="S102" s="166"/>
      <c r="T102" s="166"/>
      <c r="U102" s="166"/>
      <c r="V102" s="166"/>
      <c r="W102" s="166"/>
      <c r="X102" s="166"/>
      <c r="Y102" s="166"/>
      <c r="Z102" s="166"/>
      <c r="AA102" s="15"/>
      <c r="AB102" s="2"/>
    </row>
    <row r="103" spans="3:28" ht="15.6" x14ac:dyDescent="0.3">
      <c r="C103" s="190"/>
      <c r="D103" s="84"/>
      <c r="E103" s="138" t="s">
        <v>152</v>
      </c>
      <c r="F103" s="138"/>
      <c r="G103" s="138"/>
      <c r="H103" s="138"/>
      <c r="I103" s="45"/>
      <c r="J103" s="45"/>
      <c r="K103" s="45"/>
      <c r="L103" s="138"/>
      <c r="M103" s="138"/>
      <c r="N103" s="138"/>
      <c r="O103" s="15"/>
      <c r="P103" s="138"/>
      <c r="Q103" s="170"/>
      <c r="R103" s="170"/>
      <c r="S103" s="170"/>
      <c r="T103" s="170"/>
      <c r="U103" s="170"/>
      <c r="V103" s="170"/>
      <c r="W103" s="170"/>
      <c r="X103" s="170"/>
      <c r="Y103" s="170"/>
      <c r="Z103" s="170"/>
      <c r="AA103" s="15"/>
      <c r="AB103" s="2"/>
    </row>
    <row r="104" spans="3:28" ht="15.6" x14ac:dyDescent="0.3">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0"/>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6" x14ac:dyDescent="0.3">
      <c r="C108" s="190"/>
      <c r="D108" s="84"/>
      <c r="E108" s="138" t="s">
        <v>156</v>
      </c>
      <c r="F108" s="138"/>
      <c r="G108" s="138"/>
      <c r="H108" s="138"/>
      <c r="I108" s="45"/>
      <c r="J108" s="45"/>
      <c r="K108" s="45"/>
      <c r="L108" s="138"/>
      <c r="M108" s="138"/>
      <c r="N108" s="138"/>
      <c r="O108" s="15"/>
      <c r="P108" s="138"/>
      <c r="Q108" s="170"/>
      <c r="R108" s="170"/>
      <c r="S108" s="170"/>
      <c r="T108" s="170"/>
      <c r="U108" s="170"/>
      <c r="V108" s="170"/>
      <c r="W108" s="170"/>
      <c r="X108" s="170"/>
      <c r="Y108" s="170"/>
      <c r="Z108" s="170"/>
      <c r="AA108" s="15"/>
      <c r="AB108" s="2"/>
    </row>
    <row r="109" spans="3:28" ht="15.6" x14ac:dyDescent="0.3">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6" x14ac:dyDescent="0.3">
      <c r="C111" s="190"/>
      <c r="D111" s="84"/>
      <c r="E111" s="138" t="s">
        <v>158</v>
      </c>
      <c r="F111" s="138"/>
      <c r="G111" s="138"/>
      <c r="H111" s="138"/>
      <c r="I111" s="45"/>
      <c r="J111" s="45"/>
      <c r="K111" s="45"/>
      <c r="L111" s="138"/>
      <c r="M111" s="138"/>
      <c r="N111" s="138"/>
      <c r="O111" s="15"/>
      <c r="P111" s="138"/>
      <c r="Q111" s="170"/>
      <c r="R111" s="170"/>
      <c r="S111" s="170"/>
      <c r="T111" s="170"/>
      <c r="U111" s="170"/>
      <c r="V111" s="170"/>
      <c r="W111" s="170"/>
      <c r="X111" s="170"/>
      <c r="Y111" s="170"/>
      <c r="Z111" s="170"/>
      <c r="AA111" s="15"/>
      <c r="AB111" s="2"/>
    </row>
    <row r="112" spans="3:28" ht="15.6" x14ac:dyDescent="0.3">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0"/>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6" x14ac:dyDescent="0.3">
      <c r="C114" s="190"/>
      <c r="D114" s="84"/>
      <c r="E114" s="138" t="s">
        <v>160</v>
      </c>
      <c r="F114" s="138"/>
      <c r="G114" s="138"/>
      <c r="H114" s="138"/>
      <c r="I114" s="45"/>
      <c r="J114" s="45"/>
      <c r="K114" s="45"/>
      <c r="L114" s="138"/>
      <c r="M114" s="138"/>
      <c r="N114" s="138"/>
      <c r="O114" s="15"/>
      <c r="P114" s="138"/>
      <c r="Q114" s="170"/>
      <c r="R114" s="170"/>
      <c r="S114" s="170"/>
      <c r="T114" s="170"/>
      <c r="U114" s="170"/>
      <c r="V114" s="170"/>
      <c r="W114" s="170"/>
      <c r="X114" s="170"/>
      <c r="Y114" s="170"/>
      <c r="Z114" s="170"/>
      <c r="AA114" s="15"/>
      <c r="AB114" s="2"/>
    </row>
    <row r="115" spans="3:28" ht="15.6" x14ac:dyDescent="0.3">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0"/>
      <c r="D116" s="84"/>
      <c r="E116" s="138" t="s">
        <v>161</v>
      </c>
      <c r="F116" s="138"/>
      <c r="G116" s="138"/>
      <c r="H116" s="138"/>
      <c r="I116" s="45"/>
      <c r="J116" s="45"/>
      <c r="K116" s="45"/>
      <c r="L116" s="138"/>
      <c r="M116" s="138"/>
      <c r="N116" s="138" t="s">
        <v>20</v>
      </c>
      <c r="O116" s="36" t="s">
        <v>220</v>
      </c>
      <c r="P116" s="138"/>
      <c r="Q116" s="166" t="s">
        <v>15</v>
      </c>
      <c r="R116" s="166"/>
      <c r="S116" s="166"/>
      <c r="T116" s="166"/>
      <c r="U116" s="166"/>
      <c r="V116" s="166"/>
      <c r="W116" s="166"/>
      <c r="X116" s="166"/>
      <c r="Y116" s="166"/>
      <c r="Z116" s="166"/>
      <c r="AA116" s="15"/>
      <c r="AB116" s="2"/>
    </row>
    <row r="117" spans="3:28" ht="15.6" x14ac:dyDescent="0.3">
      <c r="C117" s="190"/>
      <c r="D117" s="84"/>
      <c r="E117" s="138" t="s">
        <v>162</v>
      </c>
      <c r="F117" s="138"/>
      <c r="G117" s="138"/>
      <c r="H117" s="138"/>
      <c r="I117" s="45"/>
      <c r="J117" s="45"/>
      <c r="K117" s="45"/>
      <c r="L117" s="138"/>
      <c r="M117" s="138"/>
      <c r="N117" s="138"/>
      <c r="O117" s="15"/>
      <c r="P117" s="138"/>
      <c r="Q117" s="170"/>
      <c r="R117" s="170"/>
      <c r="S117" s="170"/>
      <c r="T117" s="170"/>
      <c r="U117" s="170"/>
      <c r="V117" s="170"/>
      <c r="W117" s="170"/>
      <c r="X117" s="170"/>
      <c r="Y117" s="170"/>
      <c r="Z117" s="170"/>
      <c r="AA117" s="15"/>
      <c r="AB117" s="2"/>
    </row>
    <row r="118" spans="3:28" ht="15.6" x14ac:dyDescent="0.3">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221</v>
      </c>
      <c r="P119" s="84"/>
      <c r="Q119" s="166" t="s">
        <v>15</v>
      </c>
      <c r="R119" s="166"/>
      <c r="S119" s="166"/>
      <c r="T119" s="166"/>
      <c r="U119" s="166"/>
      <c r="V119" s="166"/>
      <c r="W119" s="166"/>
      <c r="X119" s="166"/>
      <c r="Y119" s="166"/>
      <c r="Z119" s="166"/>
      <c r="AA119" s="3"/>
      <c r="AB119" s="2"/>
    </row>
    <row r="120" spans="3:28" ht="15.6" x14ac:dyDescent="0.3">
      <c r="C120" s="190"/>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6" x14ac:dyDescent="0.3">
      <c r="C126" s="190"/>
      <c r="D126" s="137"/>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6" x14ac:dyDescent="0.3">
      <c r="C130" s="190"/>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5">
      <c r="C134" s="84"/>
      <c r="D134" s="170"/>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c r="AA134" s="3"/>
      <c r="AB134" s="84"/>
    </row>
    <row r="135" spans="3:28" x14ac:dyDescent="0.25">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344</v>
      </c>
      <c r="H141" s="153"/>
      <c r="I141" s="153"/>
      <c r="J141" s="153"/>
      <c r="K141" s="153"/>
      <c r="L141" s="153"/>
      <c r="M141" s="84"/>
      <c r="N141" s="84"/>
      <c r="O141" s="84"/>
      <c r="P141" s="15" t="s">
        <v>31</v>
      </c>
      <c r="Q141" s="15"/>
      <c r="R141" s="15"/>
      <c r="S141" s="171">
        <v>43259</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348</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t="s">
        <v>339</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M4" sqref="M4"/>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6" x14ac:dyDescent="0.3">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6" x14ac:dyDescent="0.3">
      <c r="C16" s="48"/>
      <c r="D16" s="84"/>
      <c r="E16" s="84"/>
      <c r="G16" s="84"/>
      <c r="H16" s="84"/>
      <c r="I16" s="45"/>
      <c r="J16" s="45"/>
      <c r="K16" s="45"/>
      <c r="L16" s="84"/>
      <c r="M16" s="84"/>
      <c r="N16" s="4"/>
      <c r="O16" s="3"/>
      <c r="P16" s="84"/>
      <c r="Q16" s="170"/>
      <c r="R16" s="170"/>
      <c r="S16" s="170"/>
      <c r="T16" s="170"/>
      <c r="U16" s="170"/>
      <c r="V16" s="170"/>
      <c r="W16" s="170"/>
      <c r="X16" s="170"/>
      <c r="Y16" s="170"/>
      <c r="Z16" s="170"/>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6" x14ac:dyDescent="0.3">
      <c r="C19" s="48"/>
      <c r="D19" s="84"/>
      <c r="E19" s="84"/>
      <c r="G19" s="84"/>
      <c r="H19" s="84"/>
      <c r="I19" s="45"/>
      <c r="J19" s="45"/>
      <c r="K19" s="45"/>
      <c r="L19" s="84"/>
      <c r="M19" s="84"/>
      <c r="N19" s="4"/>
      <c r="O19" s="3"/>
      <c r="P19" s="84"/>
      <c r="Q19" s="170"/>
      <c r="R19" s="170"/>
      <c r="S19" s="170"/>
      <c r="T19" s="170"/>
      <c r="U19" s="170"/>
      <c r="V19" s="170"/>
      <c r="W19" s="170"/>
      <c r="X19" s="170"/>
      <c r="Y19" s="170"/>
      <c r="Z19" s="170"/>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6" x14ac:dyDescent="0.3">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6" x14ac:dyDescent="0.3">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6" x14ac:dyDescent="0.3">
      <c r="C28" s="48"/>
      <c r="D28" s="19" t="s">
        <v>185</v>
      </c>
      <c r="E28" s="18"/>
      <c r="F28" s="19"/>
      <c r="G28" s="18"/>
      <c r="H28" s="18"/>
      <c r="I28" s="20"/>
      <c r="J28" s="20"/>
      <c r="K28" s="20"/>
      <c r="L28" s="18"/>
      <c r="M28" s="18"/>
      <c r="N28" s="4"/>
      <c r="O28" s="3"/>
      <c r="P28" s="18"/>
      <c r="Q28" s="170"/>
      <c r="R28" s="170"/>
      <c r="S28" s="170"/>
      <c r="T28" s="170"/>
      <c r="U28" s="170"/>
      <c r="V28" s="170"/>
      <c r="W28" s="170"/>
      <c r="X28" s="170"/>
      <c r="Y28" s="170"/>
      <c r="Z28" s="170"/>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6" x14ac:dyDescent="0.3">
      <c r="C32" s="48"/>
      <c r="D32" s="19" t="s">
        <v>188</v>
      </c>
      <c r="E32" s="18"/>
      <c r="F32" s="19"/>
      <c r="G32" s="18"/>
      <c r="H32" s="18"/>
      <c r="I32" s="20"/>
      <c r="J32" s="20"/>
      <c r="K32" s="20"/>
      <c r="L32" s="18"/>
      <c r="M32" s="18"/>
      <c r="N32" s="4"/>
      <c r="O32" s="3"/>
      <c r="P32" s="18"/>
      <c r="Q32" s="170"/>
      <c r="R32" s="170"/>
      <c r="S32" s="170"/>
      <c r="T32" s="170"/>
      <c r="U32" s="170"/>
      <c r="V32" s="170"/>
      <c r="W32" s="170"/>
      <c r="X32" s="170"/>
      <c r="Y32" s="170"/>
      <c r="Z32" s="170"/>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6" x14ac:dyDescent="0.3">
      <c r="C35" s="48"/>
      <c r="D35" s="19"/>
      <c r="E35" s="18"/>
      <c r="F35" s="19"/>
      <c r="G35" s="18"/>
      <c r="H35" s="18"/>
      <c r="I35" s="20"/>
      <c r="J35" s="20"/>
      <c r="K35" s="20"/>
      <c r="L35" s="18"/>
      <c r="M35" s="18"/>
      <c r="N35" s="4"/>
      <c r="O35" s="3"/>
      <c r="P35" s="18"/>
      <c r="Q35" s="170"/>
      <c r="R35" s="170"/>
      <c r="S35" s="170"/>
      <c r="T35" s="170"/>
      <c r="U35" s="170"/>
      <c r="V35" s="170"/>
      <c r="W35" s="170"/>
      <c r="X35" s="170"/>
      <c r="Y35" s="170"/>
      <c r="Z35" s="170"/>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84"/>
      <c r="AB38" s="2"/>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6" x14ac:dyDescent="0.3">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4"/>
      <c r="I45" s="154"/>
      <c r="J45" s="154"/>
      <c r="K45" s="154"/>
      <c r="L45" s="154"/>
      <c r="P45" s="15" t="s">
        <v>31</v>
      </c>
      <c r="Q45" s="15"/>
      <c r="R45" s="15"/>
      <c r="S45" s="171"/>
      <c r="T45" s="171"/>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zoomScaleNormal="100" workbookViewId="0">
      <selection activeCell="AA4" sqref="AA4:AB4"/>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0" t="str">
        <f>'Summary Sheet (Template)'!X1:Y1</f>
        <v>Rev 2.01</v>
      </c>
      <c r="Y1" s="150"/>
      <c r="Z1" s="172">
        <f>'Summary Sheet (Template)'!Z1:AA1</f>
        <v>43152</v>
      </c>
      <c r="AA1" s="172"/>
      <c r="AB1" s="172"/>
      <c r="AC1" s="172"/>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33" t="s">
        <v>338</v>
      </c>
      <c r="M4" s="133"/>
      <c r="N4" s="133"/>
      <c r="O4" s="133"/>
      <c r="P4" s="133"/>
      <c r="Q4" s="133"/>
      <c r="R4" s="47"/>
      <c r="S4" s="47"/>
      <c r="T4" s="3"/>
      <c r="U4" s="3"/>
      <c r="V4" s="3"/>
      <c r="W4" s="3" t="s">
        <v>92</v>
      </c>
      <c r="X4" s="3"/>
      <c r="Y4" s="3"/>
      <c r="Z4" s="3"/>
      <c r="AA4" s="153">
        <v>5</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340</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6" x14ac:dyDescent="0.3">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6" x14ac:dyDescent="0.3">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6" t="s">
        <v>15</v>
      </c>
      <c r="T20" s="166"/>
      <c r="U20" s="166"/>
      <c r="V20" s="166"/>
      <c r="W20" s="166"/>
      <c r="X20" s="166"/>
      <c r="Y20" s="166"/>
      <c r="Z20" s="166"/>
      <c r="AA20" s="166"/>
      <c r="AB20" s="166"/>
      <c r="AC20" s="3"/>
      <c r="AD20" s="2"/>
    </row>
    <row r="21" spans="3:30" ht="15.6" x14ac:dyDescent="0.3">
      <c r="C21" s="53"/>
      <c r="D21" s="84" t="s">
        <v>199</v>
      </c>
      <c r="E21" s="84"/>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6" x14ac:dyDescent="0.3">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6" x14ac:dyDescent="0.3">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9</v>
      </c>
      <c r="R31" s="84"/>
      <c r="S31" s="166" t="s">
        <v>342</v>
      </c>
      <c r="T31" s="166"/>
      <c r="U31" s="166"/>
      <c r="V31" s="166"/>
      <c r="W31" s="166"/>
      <c r="X31" s="166"/>
      <c r="Y31" s="166"/>
      <c r="Z31" s="166"/>
      <c r="AA31" s="166"/>
      <c r="AB31" s="166"/>
      <c r="AC31" s="3"/>
      <c r="AD31" s="2"/>
    </row>
    <row r="32" spans="3:30" ht="15.6" x14ac:dyDescent="0.3">
      <c r="C32" s="53"/>
      <c r="D32" s="84" t="s">
        <v>206</v>
      </c>
      <c r="E32" s="84"/>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84"/>
      <c r="AD38" s="2"/>
    </row>
    <row r="39" spans="3:43"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c r="AH40" s="170"/>
      <c r="AI40" s="170"/>
      <c r="AJ40" s="170"/>
      <c r="AK40" s="170"/>
      <c r="AL40" s="170"/>
      <c r="AM40" s="170"/>
      <c r="AN40" s="170"/>
      <c r="AO40" s="170"/>
      <c r="AP40" s="170"/>
      <c r="AQ40" s="170"/>
    </row>
    <row r="41" spans="3:43"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6" x14ac:dyDescent="0.3">
      <c r="AB42" s="16"/>
      <c r="AC42" s="16"/>
      <c r="AD42" s="2"/>
    </row>
    <row r="43" spans="3:43"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344</v>
      </c>
      <c r="H45" s="154"/>
      <c r="I45" s="154"/>
      <c r="J45" s="154"/>
      <c r="K45" s="154"/>
      <c r="L45" s="154"/>
      <c r="R45" s="15" t="s">
        <v>31</v>
      </c>
      <c r="S45" s="15"/>
      <c r="T45" s="15"/>
      <c r="U45" s="171">
        <v>43257</v>
      </c>
      <c r="V45" s="171"/>
      <c r="AC45" s="9"/>
    </row>
    <row r="46" spans="3:43" x14ac:dyDescent="0.25">
      <c r="C46" s="8"/>
      <c r="AC46" s="9"/>
    </row>
    <row r="47" spans="3:43" ht="13.8" thickBot="1" x14ac:dyDescent="0.3">
      <c r="C47" s="8"/>
      <c r="D47" s="3" t="s">
        <v>32</v>
      </c>
      <c r="E47" s="6"/>
      <c r="F47" s="21"/>
      <c r="G47" s="21"/>
      <c r="H47" s="153" t="s">
        <v>348</v>
      </c>
      <c r="I47" s="154"/>
      <c r="J47" s="154"/>
      <c r="K47" s="154"/>
      <c r="L47" s="154"/>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t="s">
        <v>339</v>
      </c>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6" x14ac:dyDescent="0.3">
      <c r="C9" s="194"/>
      <c r="D9" s="84"/>
      <c r="E9" s="84"/>
      <c r="G9" s="84"/>
      <c r="H9" s="84"/>
      <c r="I9" s="45"/>
      <c r="J9" s="45"/>
      <c r="K9" s="45"/>
      <c r="L9" s="84"/>
      <c r="M9" s="84"/>
      <c r="N9" s="4"/>
      <c r="O9" s="84"/>
      <c r="P9" s="84"/>
      <c r="Q9" s="170"/>
      <c r="R9" s="170"/>
      <c r="S9" s="170"/>
      <c r="T9" s="170"/>
      <c r="U9" s="170"/>
      <c r="V9" s="170"/>
      <c r="W9" s="170"/>
      <c r="X9" s="170"/>
      <c r="Y9" s="170"/>
      <c r="Z9" s="170"/>
      <c r="AA9" s="3"/>
      <c r="AB9" s="2"/>
    </row>
    <row r="10" spans="3:28" ht="15.6" x14ac:dyDescent="0.3">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6" x14ac:dyDescent="0.3">
      <c r="C12" s="194"/>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6" x14ac:dyDescent="0.3">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6" x14ac:dyDescent="0.3">
      <c r="C15" s="194"/>
      <c r="D15" s="84"/>
      <c r="E15" s="84"/>
      <c r="G15" s="84"/>
      <c r="H15" s="84"/>
      <c r="I15" s="45"/>
      <c r="J15" s="45"/>
      <c r="K15" s="45"/>
      <c r="L15" s="84"/>
      <c r="M15" s="84"/>
      <c r="N15" s="4"/>
      <c r="O15" s="3"/>
      <c r="P15" s="84"/>
      <c r="Q15" s="170"/>
      <c r="R15" s="170"/>
      <c r="S15" s="170"/>
      <c r="T15" s="170"/>
      <c r="U15" s="170"/>
      <c r="V15" s="170"/>
      <c r="W15" s="170"/>
      <c r="X15" s="170"/>
      <c r="Y15" s="170"/>
      <c r="Z15" s="170"/>
      <c r="AA15" s="3"/>
      <c r="AB15" s="2"/>
    </row>
    <row r="16" spans="3:28" ht="15.6" x14ac:dyDescent="0.3">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6" x14ac:dyDescent="0.3">
      <c r="C18" s="194"/>
      <c r="D18" s="84"/>
      <c r="E18" s="84"/>
      <c r="G18" s="84"/>
      <c r="H18" s="84"/>
      <c r="I18" s="45"/>
      <c r="J18" s="45"/>
      <c r="K18" s="45"/>
      <c r="L18" s="84"/>
      <c r="M18" s="84"/>
      <c r="N18" s="4"/>
      <c r="O18" s="3"/>
      <c r="P18" s="84"/>
      <c r="Q18" s="170"/>
      <c r="R18" s="170"/>
      <c r="S18" s="170"/>
      <c r="T18" s="170"/>
      <c r="U18" s="170"/>
      <c r="V18" s="170"/>
      <c r="W18" s="170"/>
      <c r="X18" s="170"/>
      <c r="Y18" s="170"/>
      <c r="Z18" s="170"/>
      <c r="AA18" s="3"/>
      <c r="AB18" s="2"/>
    </row>
    <row r="19" spans="3:28" ht="15.6" x14ac:dyDescent="0.3">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6" x14ac:dyDescent="0.3">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84"/>
      <c r="AB21" s="2"/>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6" x14ac:dyDescent="0.3">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6" x14ac:dyDescent="0.3">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8"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9"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89"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x14ac:dyDescent="0.25">
      <c r="A23" s="95" t="s">
        <v>251</v>
      </c>
      <c r="B23" s="87"/>
      <c r="C23" s="87"/>
      <c r="D23" s="87"/>
      <c r="E23" s="87"/>
      <c r="F23" s="87"/>
    </row>
    <row r="24" spans="1:6" ht="91.2" customHeight="1" x14ac:dyDescent="0.25">
      <c r="A24" s="189" t="s">
        <v>324</v>
      </c>
      <c r="B24" s="183"/>
      <c r="C24" s="183"/>
      <c r="D24" s="183"/>
      <c r="E24" s="183"/>
      <c r="F24" s="183"/>
    </row>
    <row r="25" spans="1:6" ht="13.2" customHeight="1" x14ac:dyDescent="0.25">
      <c r="A25" s="189" t="s">
        <v>253</v>
      </c>
      <c r="B25" s="183"/>
      <c r="C25" s="183"/>
      <c r="D25" s="183"/>
      <c r="E25" s="183"/>
      <c r="F25" s="183"/>
    </row>
    <row r="26" spans="1:6" ht="13.2"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89"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89"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193"/>
      <c r="B37" s="193"/>
      <c r="C37" s="193"/>
      <c r="D37" s="193"/>
      <c r="E37" s="193"/>
    </row>
    <row r="38" spans="1:6" x14ac:dyDescent="0.25">
      <c r="A38" s="189"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193"/>
      <c r="B41" s="193"/>
      <c r="C41" s="193"/>
      <c r="D41" s="193"/>
      <c r="E41" s="193"/>
    </row>
    <row r="42" spans="1:6" x14ac:dyDescent="0.25">
      <c r="A42" s="193"/>
      <c r="B42" s="193"/>
      <c r="C42" s="193"/>
      <c r="D42" s="193"/>
      <c r="E42" s="193"/>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3"/>
      <c r="B58" s="183"/>
      <c r="C58" s="183"/>
      <c r="D58" s="183"/>
      <c r="E58" s="183"/>
    </row>
    <row r="59" spans="1:5" x14ac:dyDescent="0.25">
      <c r="A59" s="183"/>
      <c r="B59" s="183"/>
      <c r="C59" s="183"/>
      <c r="D59" s="183"/>
      <c r="E59" s="183"/>
    </row>
    <row r="60" spans="1:5" x14ac:dyDescent="0.25">
      <c r="A60" s="96" t="s">
        <v>14</v>
      </c>
    </row>
    <row r="61" spans="1:5" x14ac:dyDescent="0.25">
      <c r="A61" s="189" t="s">
        <v>284</v>
      </c>
      <c r="B61" s="189"/>
      <c r="C61" s="189"/>
      <c r="D61" s="189"/>
      <c r="E61" s="189"/>
    </row>
    <row r="62" spans="1:5" x14ac:dyDescent="0.25">
      <c r="A62" s="183"/>
      <c r="B62" s="183"/>
      <c r="C62" s="183"/>
      <c r="D62" s="183"/>
      <c r="E62" s="183"/>
    </row>
    <row r="63" spans="1:5" x14ac:dyDescent="0.25">
      <c r="A63" s="183"/>
      <c r="B63" s="183"/>
      <c r="C63" s="183"/>
      <c r="D63" s="183"/>
      <c r="E63" s="183"/>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3"/>
      <c r="B70" s="183"/>
      <c r="C70" s="183"/>
      <c r="D70" s="183"/>
      <c r="E70" s="183"/>
    </row>
    <row r="71" spans="1:16" x14ac:dyDescent="0.25">
      <c r="A71" s="99" t="s">
        <v>290</v>
      </c>
    </row>
    <row r="72" spans="1:16" s="85" customFormat="1" ht="14.4" x14ac:dyDescent="0.3">
      <c r="A72" s="93" t="s">
        <v>292</v>
      </c>
    </row>
    <row r="73" spans="1:16" x14ac:dyDescent="0.25">
      <c r="A73" s="196"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x14ac:dyDescent="0.25">
      <c r="A98" s="100" t="s">
        <v>294</v>
      </c>
    </row>
    <row r="99" spans="1:16" ht="14.4" x14ac:dyDescent="0.3">
      <c r="A99" s="93" t="s">
        <v>293</v>
      </c>
    </row>
    <row r="100" spans="1:16" x14ac:dyDescent="0.25">
      <c r="A100" s="203"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03"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4" x14ac:dyDescent="0.3">
      <c r="A106" s="93" t="s">
        <v>297</v>
      </c>
    </row>
    <row r="108" spans="1:16" ht="13.2"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55" customHeight="1" x14ac:dyDescent="0.25">
      <c r="A110" s="200" t="s">
        <v>318</v>
      </c>
      <c r="B110" s="201"/>
      <c r="C110" s="201"/>
      <c r="D110" s="197" t="s">
        <v>298</v>
      </c>
      <c r="E110" s="197"/>
      <c r="F110" s="197"/>
      <c r="G110" s="197" t="s">
        <v>259</v>
      </c>
      <c r="H110" s="197"/>
      <c r="I110" s="197"/>
    </row>
    <row r="111" spans="1:16" ht="10.199999999999999" customHeight="1" x14ac:dyDescent="0.25">
      <c r="A111" s="200"/>
      <c r="B111" s="201"/>
      <c r="C111" s="201"/>
      <c r="D111" s="197"/>
      <c r="E111" s="197"/>
      <c r="F111" s="197"/>
      <c r="G111" s="197"/>
      <c r="H111" s="197"/>
      <c r="I111" s="197"/>
    </row>
    <row r="112" spans="1:16" ht="86.55" customHeight="1" x14ac:dyDescent="0.25">
      <c r="A112" s="200" t="s">
        <v>260</v>
      </c>
      <c r="B112" s="201"/>
      <c r="C112" s="201"/>
      <c r="D112" s="197" t="s">
        <v>317</v>
      </c>
      <c r="E112" s="197"/>
      <c r="F112" s="197"/>
      <c r="G112" s="197" t="s">
        <v>261</v>
      </c>
      <c r="H112" s="197"/>
      <c r="I112" s="197"/>
    </row>
    <row r="113" spans="1:9" ht="109.95" customHeight="1" x14ac:dyDescent="0.25">
      <c r="A113" s="200"/>
      <c r="B113" s="201"/>
      <c r="C113" s="201"/>
      <c r="D113" s="197"/>
      <c r="E113" s="197"/>
      <c r="F113" s="197"/>
      <c r="G113" s="197"/>
      <c r="H113" s="197"/>
      <c r="I113" s="197"/>
    </row>
    <row r="114" spans="1:9" ht="36.6" hidden="1" customHeight="1" x14ac:dyDescent="0.25">
      <c r="A114" s="200"/>
      <c r="B114" s="201"/>
      <c r="C114" s="201"/>
      <c r="D114" s="197"/>
      <c r="E114" s="197"/>
      <c r="F114" s="197"/>
      <c r="G114" s="197"/>
      <c r="H114" s="197"/>
      <c r="I114" s="197"/>
    </row>
    <row r="115" spans="1:9" ht="47.55" hidden="1" customHeight="1" x14ac:dyDescent="0.25">
      <c r="A115" s="200"/>
      <c r="B115" s="201"/>
      <c r="C115" s="201"/>
      <c r="D115" s="197"/>
      <c r="E115" s="197"/>
      <c r="F115" s="197"/>
      <c r="G115" s="197"/>
      <c r="H115" s="197"/>
      <c r="I115" s="197"/>
    </row>
    <row r="116" spans="1:9" ht="58.2" hidden="1" customHeight="1" x14ac:dyDescent="0.25">
      <c r="A116" s="200"/>
      <c r="B116" s="201"/>
      <c r="C116" s="201"/>
      <c r="D116" s="197"/>
      <c r="E116" s="197"/>
      <c r="F116" s="197"/>
      <c r="G116" s="197"/>
      <c r="H116" s="197"/>
      <c r="I116" s="197"/>
    </row>
    <row r="117" spans="1:9" ht="43.95" customHeight="1" x14ac:dyDescent="0.25">
      <c r="A117" s="197" t="s">
        <v>262</v>
      </c>
      <c r="B117" s="202"/>
      <c r="C117" s="202"/>
      <c r="D117" s="197" t="s">
        <v>263</v>
      </c>
      <c r="E117" s="197"/>
      <c r="F117" s="197"/>
      <c r="G117" s="197" t="s">
        <v>259</v>
      </c>
      <c r="H117" s="197"/>
      <c r="I117" s="197"/>
    </row>
    <row r="118" spans="1:9" ht="14.55" customHeight="1" x14ac:dyDescent="0.25">
      <c r="A118" s="197" t="s">
        <v>264</v>
      </c>
      <c r="B118" s="202"/>
      <c r="C118" s="202"/>
      <c r="D118" s="197" t="s">
        <v>223</v>
      </c>
      <c r="E118" s="197"/>
      <c r="F118" s="197"/>
      <c r="G118" s="197" t="s">
        <v>223</v>
      </c>
      <c r="H118" s="197"/>
      <c r="I118" s="197"/>
    </row>
    <row r="119" spans="1:9" ht="22.95" customHeight="1" x14ac:dyDescent="0.25">
      <c r="A119" s="197"/>
      <c r="B119" s="202"/>
      <c r="C119" s="202"/>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6" x14ac:dyDescent="0.3">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6" x14ac:dyDescent="0.3">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6" x14ac:dyDescent="0.3">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6" x14ac:dyDescent="0.3">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5">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5">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84"/>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3">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6" x14ac:dyDescent="0.3">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6" x14ac:dyDescent="0.3">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6" x14ac:dyDescent="0.3">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6" x14ac:dyDescent="0.3">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6" x14ac:dyDescent="0.3">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172"/>
      <c r="AC1" s="172"/>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6" x14ac:dyDescent="0.3">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6" x14ac:dyDescent="0.3">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6" x14ac:dyDescent="0.3">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6" x14ac:dyDescent="0.3">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6" x14ac:dyDescent="0.3">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6" x14ac:dyDescent="0.3">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3"/>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3"/>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3"/>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3"/>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5">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5">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9" t="s">
        <v>237</v>
      </c>
      <c r="C24" s="129" t="s">
        <v>238</v>
      </c>
      <c r="D24" s="123" t="s">
        <v>302</v>
      </c>
      <c r="E24" s="124">
        <v>43068</v>
      </c>
      <c r="F24" s="212" t="s">
        <v>314</v>
      </c>
      <c r="G24" s="209" t="s">
        <v>310</v>
      </c>
      <c r="H24" s="215" t="s">
        <v>311</v>
      </c>
    </row>
    <row r="25" spans="2:8" ht="198" x14ac:dyDescent="0.25">
      <c r="B25" s="210"/>
      <c r="C25" s="129" t="s">
        <v>239</v>
      </c>
      <c r="D25" s="123" t="s">
        <v>302</v>
      </c>
      <c r="E25" s="124">
        <v>43068</v>
      </c>
      <c r="F25" s="213"/>
      <c r="G25" s="210"/>
      <c r="H25" s="216"/>
    </row>
    <row r="26" spans="2:8" ht="39.6" x14ac:dyDescent="0.25">
      <c r="B26" s="210"/>
      <c r="C26" s="129" t="s">
        <v>240</v>
      </c>
      <c r="D26" s="123" t="s">
        <v>302</v>
      </c>
      <c r="E26" s="124">
        <v>43068</v>
      </c>
      <c r="F26" s="213"/>
      <c r="G26" s="210"/>
      <c r="H26" s="216"/>
    </row>
    <row r="27" spans="2:8" ht="105.6" x14ac:dyDescent="0.25">
      <c r="B27" s="210"/>
      <c r="C27" s="129" t="s">
        <v>241</v>
      </c>
      <c r="D27" s="123" t="s">
        <v>302</v>
      </c>
      <c r="E27" s="124">
        <v>43068</v>
      </c>
      <c r="F27" s="213"/>
      <c r="G27" s="210"/>
      <c r="H27" s="216"/>
    </row>
    <row r="28" spans="2:8" ht="92.4" x14ac:dyDescent="0.25">
      <c r="B28" s="211"/>
      <c r="C28" s="129" t="s">
        <v>242</v>
      </c>
      <c r="D28" s="123" t="s">
        <v>302</v>
      </c>
      <c r="E28" s="124">
        <v>43068</v>
      </c>
      <c r="F28" s="214"/>
      <c r="G28" s="211"/>
      <c r="H28" s="217"/>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2018-06-08T17:39:09Z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