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096A_BmwMsgSlot53Bas3Repn8BusFrChA_Impl\doc\"/>
    </mc:Choice>
  </mc:AlternateContent>
  <xr:revisionPtr revIDLastSave="0" documentId="13_ncr:1_{D2D2D17D-FAF4-4FCA-A7D2-B98C15D5CC65}"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MDD" sheetId="1114" state="hidden" r:id="rId6"/>
    <sheet name="Source Code" sheetId="1115"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5">#REF!</definedName>
    <definedName name="example1" localSheetId="7">#REF!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5">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6">'Source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<sst xmlns="http://schemas.openxmlformats.org/spreadsheetml/2006/main" count="1231" uniqueCount="348">
  <si>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</si>
  <si>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</si>
  <si>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</si>
  <si>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</si>
  <si>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</si>
  <si>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</si>
  <si>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</si>
  <si>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</si>
  <si>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</si>
  <si>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</si>
  <si>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</si>
  <si>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</si>
  <si>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</si>
  <si>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</si>
  <si>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</si>
  <si>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</si>
  <si>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</si>
  <si>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</si>
  <si>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</si>
  <si>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</si>
  <si>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</si>
  <si>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</si>
  <si>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</si>
  <si>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</si>
  <si>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</si>
  <si>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</si>
  <si>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</si>
  <si>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</si>
  <si>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</si>
  <si>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</si>
  <si>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</si>
  <si>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</si>
  <si>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</si>
  <si>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</si>
  <si>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</si>
  <si>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</si>
  <si>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</si>
  <si>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</si>
  <si>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</si>
  <si>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</si>
  <si>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</si>
  <si>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</si>
  <si>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</si>
  <si>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</si>
  <si>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</si>
  <si>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</si>
  <si>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</si>
  <si>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</si>
  <si>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</si>
  <si>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</si>
  <si>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</si>
  <si>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</si>
  <si>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</si>
  <si>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</si>
  <si>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</si>
  <si>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</si>
  <si>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</si>
  <si>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</si>
  <si>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</si>
  <si>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</si>
  <si>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</si>
  <si>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</si>
  <si>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</si>
  <si>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</si>
  <si>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</si>
  <si>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</si>
  <si>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</si>
  <si>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</si>
  <si>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</si>
  <si>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</si>
  <si>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</si>
  <si>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</si>
  <si>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</si>
  <si>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</si>
  <si>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</si>
  <si>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</si>
  <si>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</si>
  <si>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</si>
  <si>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</si>
  <si>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</si>
  <si>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</si>
  <si>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</si>
  <si>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</si>
  <si>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</si>
  <si>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</si>
  <si>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</si>
  <si>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</si>
  <si>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</si>
  <si>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</si>
  <si>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</si>
  <si>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</si>
  <si>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</si>
  <si>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</si>
  <si>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</si>
  <si>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</si>
  <si>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</si>
  <si>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</si>
  <si>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</si>
  <si>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</si>
  <si>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</si>
  <si>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</si>
  <si>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</si>
  <si>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</si>
  <si>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</si>
  <si>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</si>
  <si>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</si>
  <si>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</si>
  <si>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</si>
  <si>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</si>
  <si>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</si>
  <si>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</si>
  <si>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</si>
  <si>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</si>
  <si>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</si>
  <si>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</si>
  <si>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</si>
  <si>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</si>
  <si>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</si>
  <si>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</si>
  <si>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</si>
  <si>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</si>
  <si>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</si>
  <si>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</si>
  <si>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</si>
  <si>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</si>
  <si>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</si>
  <si>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</si>
  <si>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</si>
  <si>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</si>
  <si>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</si>
  <si>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</si>
  <si>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</si>
  <si>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</si>
  <si>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</si>
  <si>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</si>
  <si>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</si>
  <si>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</si>
  <si>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</si>
  <si>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</si>
  <si>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</si>
  <si>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</si>
  <si>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</si>
  <si>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</si>
  <si>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</si>
  <si>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</si>
  <si>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</si>
  <si>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</si>
  <si>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</si>
  <si>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</si>
  <si>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</si>
  <si>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</si>
  <si>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</si>
  <si>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</si>
  <si>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</si>
  <si>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</si>
  <si>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</si>
  <si>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</si>
  <si>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</si>
  <si>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</si>
  <si>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</si>
  <si>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</si>
  <si>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</si>
  <si>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</si>
  <si>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</si>
  <si>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</si>
  <si>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</si>
  <si>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</si>
  <si>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</si>
  <si>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</si>
  <si>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</si>
  <si>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</si>
  <si>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</si>
  <si>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</si>
  <si>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</si>
  <si>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</si>
  <si>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</si>
  <si>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</si>
  <si>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</si>
  <si>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</si>
  <si>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</si>
  <si>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</si>
  <si>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</si>
  <si>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</si>
  <si>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</si>
  <si>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</si>
  <si>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</si>
  <si>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</si>
  <si>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</si>
  <si>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</si>
  <si>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</si>
  <si>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</si>
  <si>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</si>
  <si>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</si>
  <si>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</si>
  <si>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</si>
  <si>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</si>
  <si>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</si>
  <si>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</si>
  <si>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</si>
  <si>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</si>
  <si>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</si>
  <si>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</si>
  <si>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</si>
  <si>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</si>
  <si>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</si>
  <si>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</si>
  <si>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</si>
  <si>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</si>
  <si>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</si>
  <si>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</si>
  <si>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</si>
  <si>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</si>
  <si>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</si>
  <si>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</si>
  <si>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</si>
  <si>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</si>
  <si>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</si>
  <si>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</si>
  <si>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</si>
  <si>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</si>
  <si>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</si>
  <si>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</si>
  <si>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</si>
  <si>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</si>
  <si>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</si>
  <si>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</si>
  <si>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</si>
  <si>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</si>
  <si>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</si>
  <si>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</si>
  <si>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</si>
  <si>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</si>
  <si>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</si>
  <si>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</si>
  <si>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</si>
  <si>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</si>
  <si>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</si>
  <si>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</si>
  <si>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</si>
  <si>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</si>
  <si>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</si>
  <si>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</si>
  <si>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</si>
  <si>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</si>
  <si>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</si>
  <si>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</si>
  <si>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</si>
  <si>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</si>
  <si>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</si>
  <si>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</si>
  <si>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</si>
  <si>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</si>
  <si>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</si>
  <si>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</si>
  <si>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</si>
  <si>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</si>
  <si>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</si>
  <si>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</si>
  <si>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</si>
  <si>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</si>
  <si>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</si>
  <si>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</si>
  <si>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</si>
  <si>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</si>
  <si>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</si>
  <si>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</si>
  <si>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</si>
  <si>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</si>
  <si>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</si>
  <si>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</si>
  <si>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</si>
  <si>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</si>
  <si>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</si>
  <si>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</si>
  <si>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</si>
  <si>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</si>
  <si>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</si>
  <si>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</si>
  <si>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</si>
  <si>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</si>
  <si>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</si>
  <si>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</si>
  <si>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</si>
  <si>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</si>
  <si>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</si>
  <si>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</si>
  <si>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</si>
  <si>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</si>
  <si>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</si>
  <si>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</si>
  <si>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</si>
  <si>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</si>
  <si>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</si>
  <si>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</si>
  <si>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</si>
  <si>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</si>
  <si>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</si>
  <si>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</si>
  <si>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</si>
  <si>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</si>
  <si>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</si>
  <si>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</si>
  <si>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</si>
  <si>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</si>
  <si>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</si>
  <si>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</si>
  <si>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</si>
  <si>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</si>
  <si>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</si>
  <si>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</si>
  <si>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</si>
  <si>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</si>
  <si>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</si>
  <si>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</si>
  <si>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</si>
  <si>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</si>
  <si>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</si>
  <si>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</si>
  <si>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</si>
  <si>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</si>
  <si>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</si>
  <si>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</si>
  <si>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</si>
  <si>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</si>
  <si>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</si>
  <si>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</si>
  <si>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</si>
  <si>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</si>
  <si>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</si>
  <si>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</si>
  <si>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</si>
  <si>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</si>
  <si>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</si>
  <si>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</si>
  <si>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Deviations approved by Kevin Smith</t>
  </si>
  <si>
    <t>MM requires non-standard inputs/outputs from BMW.</t>
  </si>
  <si>
    <t>Kevin Smith</t>
  </si>
  <si>
    <t>Warnings are acceptable due to the use of BMW port interfaces</t>
  </si>
  <si>
    <t>Some ports follow BMW naming conventions</t>
  </si>
  <si>
    <t>Application</t>
  </si>
  <si>
    <t>BMW output does not match naming conventions</t>
  </si>
  <si>
    <t>2.4.0</t>
  </si>
  <si>
    <t>BmwMsgSlot53Bas3Repn8BusFrChA</t>
  </si>
  <si>
    <t>Pratik Jadhav</t>
  </si>
  <si>
    <t>BmwMsgSlot53Bas3Repn8BusFrChA.c</t>
  </si>
  <si>
    <t>Marcelos Reis</t>
  </si>
  <si>
    <t>EA4#24658</t>
  </si>
  <si>
    <t>MM096A_BmwMsgSlot53Bas3Repn8BusFrChA_Impl_0.2.0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</si>
</sst>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4" thickBot="1" x14ac:dyDescent="0.4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19" zoomScale="107" zoomScaleNormal="107" workbookViewId="0">
      <selection activeCell="K40" sqref="K40"/>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0" t="s">
        <v>281</v>
      </c>
      <c r="Y1" s="151"/>
      <c r="Z1" s="152">
        <v>43152</v>
      </c>
      <c r="AA1" s="152"/>
    </row>
    <row r="2" spans="3:27" ht="23.4" thickBot="1" x14ac:dyDescent="0.4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8" thickTop="1" x14ac:dyDescent="0.25">
      <c r="Q3" s="3"/>
    </row>
    <row r="4" spans="3:27" ht="13.8" thickBot="1" x14ac:dyDescent="0.3">
      <c r="C4" s="109" t="s">
        <v>0</v>
      </c>
      <c r="D4" s="109"/>
      <c r="E4" s="109"/>
      <c r="F4" s="109"/>
      <c r="G4" s="109"/>
      <c r="H4" s="170" t="s">
        <v>342</v>
      </c>
      <c r="I4" s="166"/>
      <c r="J4" s="166"/>
      <c r="K4" s="166"/>
      <c r="L4" s="166"/>
      <c r="M4" s="166"/>
      <c r="N4" s="26"/>
      <c r="O4" s="109" t="s">
        <v>1</v>
      </c>
      <c r="P4" s="109"/>
      <c r="Q4" s="109"/>
      <c r="R4" s="109"/>
      <c r="S4" s="154" t="s">
        <v>347</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343</v>
      </c>
      <c r="H6" s="154"/>
      <c r="I6" s="154"/>
      <c r="J6" s="154"/>
      <c r="K6" s="154"/>
      <c r="L6" s="154"/>
      <c r="M6" s="154"/>
      <c r="N6" s="154"/>
      <c r="O6" s="154"/>
      <c r="Q6" s="109" t="s">
        <v>3</v>
      </c>
      <c r="R6" s="109"/>
      <c r="S6" s="109"/>
      <c r="T6" s="6"/>
      <c r="U6" s="154" t="s">
        <v>346</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334</v>
      </c>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2">
        <v>1216</v>
      </c>
      <c r="H43" s="143"/>
      <c r="I43" s="144"/>
      <c r="J43" s="3"/>
      <c r="K43" s="3"/>
      <c r="L43" s="3"/>
      <c r="M43" s="112" t="s">
        <v>278</v>
      </c>
      <c r="N43" s="111"/>
      <c r="O43" s="111"/>
      <c r="P43" s="111"/>
      <c r="Q43" s="111"/>
      <c r="R43" s="3"/>
      <c r="S43" s="142">
        <v>15</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0"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4"/>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4"/>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4"/>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221</v>
      </c>
      <c r="P17" s="84"/>
      <c r="Q17" s="167" t="s">
        <v>15</v>
      </c>
      <c r="R17" s="167"/>
      <c r="S17" s="167"/>
      <c r="T17" s="167"/>
      <c r="U17" s="167"/>
      <c r="V17" s="167"/>
      <c r="W17" s="167"/>
      <c r="X17" s="167"/>
      <c r="Y17" s="167"/>
      <c r="Z17" s="167"/>
      <c r="AA17" s="3"/>
    </row>
    <row r="18" spans="3:27" x14ac:dyDescent="0.25">
      <c r="C18" s="174"/>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343</v>
      </c>
      <c r="H33" s="154"/>
      <c r="I33" s="154"/>
      <c r="J33" s="154"/>
      <c r="K33" s="154"/>
      <c r="L33" s="154"/>
      <c r="M33" s="84"/>
      <c r="N33" s="84"/>
      <c r="O33" s="84"/>
      <c r="P33" s="15" t="s">
        <v>31</v>
      </c>
      <c r="Q33" s="15"/>
      <c r="R33" s="15"/>
      <c r="S33" s="172">
        <v>43257</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333</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8" thickBot="1" x14ac:dyDescent="0.3">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P61" sqref="P61"/>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1" t="str">
        <f>'Summary Sheet (Template)'!X1:Y1</f>
        <v>Rev 2.01</v>
      </c>
      <c r="Y1" s="151"/>
      <c r="Z1" s="173">
        <f>'Summary Sheet (Template)'!Z1:AA1</f>
        <v>43152</v>
      </c>
      <c r="AA1" s="1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t="s">
        <v>9</v>
      </c>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t="s">
        <v>335</v>
      </c>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t="s">
        <v>220</v>
      </c>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t="s">
        <v>9</v>
      </c>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t="s">
        <v>340</v>
      </c>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t="s">
        <v>221</v>
      </c>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t="s">
        <v>337</v>
      </c>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t="s">
        <v>338</v>
      </c>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6" x14ac:dyDescent="0.3">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6" x14ac:dyDescent="0.3">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t="s">
        <v>343</v>
      </c>
      <c r="H93" s="155"/>
      <c r="I93" s="155"/>
      <c r="J93" s="155"/>
      <c r="K93" s="155"/>
      <c r="L93" s="155"/>
      <c r="M93" s="72"/>
      <c r="O93" s="15" t="s">
        <v>31</v>
      </c>
      <c r="R93" s="172">
        <v>43257</v>
      </c>
      <c r="S93" s="172"/>
      <c r="U93" s="84" t="s">
        <v>87</v>
      </c>
      <c r="Y93" s="172" t="s">
        <v>339</v>
      </c>
      <c r="Z93" s="172"/>
      <c r="AB93" s="9"/>
    </row>
    <row r="94" spans="3:29" x14ac:dyDescent="0.25">
      <c r="C94" s="8"/>
      <c r="AB94" s="9"/>
    </row>
    <row r="95" spans="3:29" ht="13.8" thickBot="1" x14ac:dyDescent="0.3">
      <c r="C95" s="8"/>
      <c r="D95" s="3" t="s">
        <v>32</v>
      </c>
      <c r="E95" s="6"/>
      <c r="F95" s="21"/>
      <c r="G95" s="21"/>
      <c r="H95" s="154" t="s">
        <v>333</v>
      </c>
      <c r="I95" s="155"/>
      <c r="J95" s="155"/>
      <c r="K95" s="155"/>
      <c r="L95" s="155"/>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t="s">
        <v>336</v>
      </c>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6" x14ac:dyDescent="0.3">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6" x14ac:dyDescent="0.3">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6" x14ac:dyDescent="0.3">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6" x14ac:dyDescent="0.3">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6" x14ac:dyDescent="0.3">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6" x14ac:dyDescent="0.3">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6" x14ac:dyDescent="0.3">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6" x14ac:dyDescent="0.3">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t="s">
        <v>333</v>
      </c>
      <c r="H45" s="155"/>
      <c r="I45" s="155"/>
      <c r="J45" s="155"/>
      <c r="K45" s="155"/>
      <c r="L45" s="155"/>
      <c r="P45" s="15" t="s">
        <v>31</v>
      </c>
      <c r="Q45" s="15"/>
      <c r="R45" s="15"/>
      <c r="S45" s="172"/>
      <c r="T45" s="172"/>
      <c r="AA45" s="9"/>
    </row>
    <row r="46" spans="3:28" x14ac:dyDescent="0.25">
      <c r="C46" s="8"/>
      <c r="AA46" s="9"/>
    </row>
    <row r="47" spans="3:28" ht="13.8" thickBot="1" x14ac:dyDescent="0.3">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27" zoomScaleNormal="100" workbookViewId="0">
      <selection activeCell="S141" sqref="S141:T14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t="s">
        <v>344</v>
      </c>
      <c r="H4" s="154"/>
      <c r="I4" s="154"/>
      <c r="J4" s="154"/>
      <c r="K4" s="154"/>
      <c r="L4" s="154"/>
      <c r="M4" s="154"/>
      <c r="N4" s="154"/>
      <c r="O4" s="154"/>
      <c r="P4" s="154"/>
      <c r="Q4" s="154"/>
      <c r="R4" s="84"/>
      <c r="S4" s="111" t="s">
        <v>92</v>
      </c>
      <c r="T4" s="111"/>
      <c r="U4" s="111"/>
      <c r="V4" s="40"/>
      <c r="W4" s="154">
        <v>3</v>
      </c>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221</v>
      </c>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221</v>
      </c>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221</v>
      </c>
      <c r="P18" s="84"/>
      <c r="Q18" s="167" t="s">
        <v>15</v>
      </c>
      <c r="R18" s="167"/>
      <c r="S18" s="167"/>
      <c r="T18" s="167"/>
      <c r="U18" s="167"/>
      <c r="V18" s="167"/>
      <c r="W18" s="167"/>
      <c r="X18" s="167"/>
      <c r="Y18" s="167"/>
      <c r="Z18" s="167"/>
      <c r="AA18" s="3"/>
      <c r="AB18" s="2"/>
    </row>
    <row r="19" spans="3:28" ht="15.6" x14ac:dyDescent="0.3">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221</v>
      </c>
      <c r="P21" s="84"/>
      <c r="Q21" s="167" t="s">
        <v>15</v>
      </c>
      <c r="R21" s="167"/>
      <c r="S21" s="167"/>
      <c r="T21" s="167"/>
      <c r="U21" s="167"/>
      <c r="V21" s="167"/>
      <c r="W21" s="167"/>
      <c r="X21" s="167"/>
      <c r="Y21" s="167"/>
      <c r="Z21" s="167"/>
      <c r="AA21" s="3"/>
      <c r="AB21" s="2"/>
    </row>
    <row r="22" spans="3:28" ht="15.6" x14ac:dyDescent="0.3">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6" x14ac:dyDescent="0.3">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221</v>
      </c>
      <c r="P27" s="84"/>
      <c r="Q27" s="167" t="s">
        <v>15</v>
      </c>
      <c r="R27" s="167"/>
      <c r="S27" s="167"/>
      <c r="T27" s="167"/>
      <c r="U27" s="167"/>
      <c r="V27" s="167"/>
      <c r="W27" s="167"/>
      <c r="X27" s="167"/>
      <c r="Y27" s="167"/>
      <c r="Z27" s="167"/>
      <c r="AA27" s="3"/>
      <c r="AB27" s="2"/>
    </row>
    <row r="28" spans="3:28" ht="15.6" x14ac:dyDescent="0.3">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221</v>
      </c>
      <c r="P30" s="84"/>
      <c r="Q30" s="167" t="s">
        <v>15</v>
      </c>
      <c r="R30" s="167"/>
      <c r="S30" s="167"/>
      <c r="T30" s="167"/>
      <c r="U30" s="167"/>
      <c r="V30" s="167"/>
      <c r="W30" s="167"/>
      <c r="X30" s="167"/>
      <c r="Y30" s="167"/>
      <c r="Z30" s="167"/>
      <c r="AA30" s="3"/>
      <c r="AB30" s="2"/>
    </row>
    <row r="31" spans="3:28" ht="15.6" x14ac:dyDescent="0.3">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6" x14ac:dyDescent="0.3">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221</v>
      </c>
      <c r="P36" s="84"/>
      <c r="Q36" s="167" t="s">
        <v>15</v>
      </c>
      <c r="R36" s="167"/>
      <c r="S36" s="167"/>
      <c r="T36" s="167"/>
      <c r="U36" s="167"/>
      <c r="V36" s="167"/>
      <c r="W36" s="167"/>
      <c r="X36" s="167"/>
      <c r="Y36" s="167"/>
      <c r="Z36" s="167"/>
      <c r="AA36" s="3"/>
      <c r="AB36" s="2"/>
    </row>
    <row r="37" spans="3:28" ht="15.6" x14ac:dyDescent="0.3">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6" x14ac:dyDescent="0.3">
      <c r="C40" s="191"/>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6" x14ac:dyDescent="0.3">
      <c r="C43" s="191"/>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221</v>
      </c>
      <c r="P46" s="84"/>
      <c r="Q46" s="167" t="s">
        <v>15</v>
      </c>
      <c r="R46" s="167"/>
      <c r="S46" s="167"/>
      <c r="T46" s="167"/>
      <c r="U46" s="167"/>
      <c r="V46" s="167"/>
      <c r="W46" s="167"/>
      <c r="X46" s="167"/>
      <c r="Y46" s="167"/>
      <c r="Z46" s="167"/>
      <c r="AA46" s="3"/>
      <c r="AB46" s="2"/>
    </row>
    <row r="47" spans="3:28" ht="15.6" x14ac:dyDescent="0.3">
      <c r="C47" s="191"/>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221</v>
      </c>
      <c r="P51" s="84"/>
      <c r="Q51" s="167" t="s">
        <v>15</v>
      </c>
      <c r="R51" s="167"/>
      <c r="S51" s="167"/>
      <c r="T51" s="167"/>
      <c r="U51" s="167"/>
      <c r="V51" s="167"/>
      <c r="W51" s="167"/>
      <c r="X51" s="167"/>
      <c r="Y51" s="167"/>
      <c r="Z51" s="167"/>
      <c r="AA51" s="3"/>
      <c r="AB51" s="2"/>
    </row>
    <row r="52" spans="3:28" ht="15.6" x14ac:dyDescent="0.3">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6" x14ac:dyDescent="0.3">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6" x14ac:dyDescent="0.3">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220</v>
      </c>
      <c r="P63" s="84"/>
      <c r="Q63" s="167" t="s">
        <v>15</v>
      </c>
      <c r="R63" s="167"/>
      <c r="S63" s="167"/>
      <c r="T63" s="167"/>
      <c r="U63" s="167"/>
      <c r="V63" s="167"/>
      <c r="W63" s="167"/>
      <c r="X63" s="167"/>
      <c r="Y63" s="167"/>
      <c r="Z63" s="167"/>
      <c r="AA63" s="3"/>
      <c r="AB63" s="2"/>
    </row>
    <row r="64" spans="3:28" ht="15.6" x14ac:dyDescent="0.3">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221</v>
      </c>
      <c r="P68" s="84"/>
      <c r="Q68" s="167" t="s">
        <v>15</v>
      </c>
      <c r="R68" s="167"/>
      <c r="S68" s="167"/>
      <c r="T68" s="167"/>
      <c r="U68" s="167"/>
      <c r="V68" s="167"/>
      <c r="W68" s="167"/>
      <c r="X68" s="167"/>
      <c r="Y68" s="167"/>
      <c r="Z68" s="167"/>
      <c r="AA68" s="3"/>
      <c r="AB68" s="2"/>
    </row>
    <row r="69" spans="3:28" ht="15.6" x14ac:dyDescent="0.3">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221</v>
      </c>
      <c r="P74" s="84"/>
      <c r="Q74" s="167" t="s">
        <v>15</v>
      </c>
      <c r="R74" s="167"/>
      <c r="S74" s="167"/>
      <c r="T74" s="167"/>
      <c r="U74" s="167"/>
      <c r="V74" s="167"/>
      <c r="W74" s="167"/>
      <c r="X74" s="167"/>
      <c r="Y74" s="167"/>
      <c r="Z74" s="167"/>
      <c r="AA74" s="3"/>
      <c r="AB74" s="2"/>
    </row>
    <row r="75" spans="3:28" ht="15.6" x14ac:dyDescent="0.3">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6" x14ac:dyDescent="0.3">
      <c r="C78" s="191"/>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220</v>
      </c>
      <c r="P80" s="84"/>
      <c r="Q80" s="167" t="s">
        <v>15</v>
      </c>
      <c r="R80" s="167"/>
      <c r="S80" s="167"/>
      <c r="T80" s="167"/>
      <c r="U80" s="167"/>
      <c r="V80" s="167"/>
      <c r="W80" s="167"/>
      <c r="X80" s="167"/>
      <c r="Y80" s="167"/>
      <c r="Z80" s="167"/>
      <c r="AA80" s="3"/>
      <c r="AB80" s="2"/>
    </row>
    <row r="81" spans="3:28" ht="15.6" x14ac:dyDescent="0.3">
      <c r="C81" s="191"/>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220</v>
      </c>
      <c r="P84" s="84"/>
      <c r="Q84" s="167" t="s">
        <v>15</v>
      </c>
      <c r="R84" s="167"/>
      <c r="S84" s="167"/>
      <c r="T84" s="167"/>
      <c r="U84" s="167"/>
      <c r="V84" s="167"/>
      <c r="W84" s="167"/>
      <c r="X84" s="167"/>
      <c r="Y84" s="167"/>
      <c r="Z84" s="167"/>
      <c r="AA84" s="3"/>
      <c r="AB84" s="2"/>
    </row>
    <row r="85" spans="3:28" ht="15.6" x14ac:dyDescent="0.3">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6" x14ac:dyDescent="0.3">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6" x14ac:dyDescent="0.3">
      <c r="C91" s="191"/>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6" x14ac:dyDescent="0.3">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1"/>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6" x14ac:dyDescent="0.3">
      <c r="C94" s="191"/>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6" x14ac:dyDescent="0.3">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1"/>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6" x14ac:dyDescent="0.3">
      <c r="C97" s="191"/>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6" x14ac:dyDescent="0.3">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1"/>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6" x14ac:dyDescent="0.3">
      <c r="C100" s="191"/>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6" x14ac:dyDescent="0.3">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1"/>
      <c r="D102" s="84"/>
      <c r="E102" s="138" t="s">
        <v>151</v>
      </c>
      <c r="F102" s="138"/>
      <c r="G102" s="138"/>
      <c r="H102" s="138"/>
      <c r="I102" s="45"/>
      <c r="J102" s="45"/>
      <c r="K102" s="45"/>
      <c r="L102" s="138"/>
      <c r="M102" s="138"/>
      <c r="N102" s="138" t="s">
        <v>20</v>
      </c>
      <c r="O102" s="36" t="s">
        <v>221</v>
      </c>
      <c r="P102" s="138"/>
      <c r="Q102" s="167" t="s">
        <v>15</v>
      </c>
      <c r="R102" s="167"/>
      <c r="S102" s="167"/>
      <c r="T102" s="167"/>
      <c r="U102" s="167"/>
      <c r="V102" s="167"/>
      <c r="W102" s="167"/>
      <c r="X102" s="167"/>
      <c r="Y102" s="167"/>
      <c r="Z102" s="167"/>
      <c r="AA102" s="15"/>
      <c r="AB102" s="2"/>
    </row>
    <row r="103" spans="3:28" ht="15.6" x14ac:dyDescent="0.3">
      <c r="C103" s="191"/>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6" x14ac:dyDescent="0.3">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1"/>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6" x14ac:dyDescent="0.3">
      <c r="C108" s="191"/>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6" x14ac:dyDescent="0.3">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1"/>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6" x14ac:dyDescent="0.3">
      <c r="C111" s="191"/>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6" x14ac:dyDescent="0.3">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1"/>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6" x14ac:dyDescent="0.3">
      <c r="C114" s="191"/>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6" x14ac:dyDescent="0.3">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1"/>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6" x14ac:dyDescent="0.3">
      <c r="C117" s="191"/>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6" x14ac:dyDescent="0.3">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221</v>
      </c>
      <c r="P119" s="84"/>
      <c r="Q119" s="167" t="s">
        <v>15</v>
      </c>
      <c r="R119" s="167"/>
      <c r="S119" s="167"/>
      <c r="T119" s="167"/>
      <c r="U119" s="167"/>
      <c r="V119" s="167"/>
      <c r="W119" s="167"/>
      <c r="X119" s="167"/>
      <c r="Y119" s="167"/>
      <c r="Z119" s="167"/>
      <c r="AA119" s="3"/>
      <c r="AB119" s="2"/>
    </row>
    <row r="120" spans="3:28" ht="15.6" x14ac:dyDescent="0.3">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6" x14ac:dyDescent="0.3">
      <c r="C126" s="191"/>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6" x14ac:dyDescent="0.3">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343</v>
      </c>
      <c r="H141" s="154"/>
      <c r="I141" s="154"/>
      <c r="J141" s="154"/>
      <c r="K141" s="154"/>
      <c r="L141" s="154"/>
      <c r="M141" s="84"/>
      <c r="N141" s="84"/>
      <c r="O141" s="84"/>
      <c r="P141" s="15" t="s">
        <v>31</v>
      </c>
      <c r="Q141" s="15"/>
      <c r="R141" s="15"/>
      <c r="S141" s="172">
        <v>43257</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333</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t="s">
        <v>345</v>
      </c>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133"/>
      <c r="I151" s="133"/>
      <c r="J151" s="133"/>
      <c r="K151" s="133"/>
      <c r="L151" s="133"/>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10" zoomScaleNormal="100" workbookViewId="0">
      <selection activeCell="AA4" sqref="AA4:AB4"/>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1" t="str">
        <f>'Summary Sheet (Template)'!X1:Y1</f>
        <v>Rev 2.01</v>
      </c>
      <c r="Y1" s="151"/>
      <c r="Z1" s="173">
        <f>'Summary Sheet (Template)'!Z1:AA1</f>
        <v>43152</v>
      </c>
      <c r="AA1" s="173"/>
      <c r="AB1" s="173"/>
      <c r="AC1" s="173"/>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344</v>
      </c>
      <c r="M4" s="133"/>
      <c r="N4" s="133"/>
      <c r="O4" s="133"/>
      <c r="P4" s="133"/>
      <c r="Q4" s="133"/>
      <c r="R4" s="47"/>
      <c r="S4" s="47"/>
      <c r="T4" s="3"/>
      <c r="U4" s="3"/>
      <c r="V4" s="3"/>
      <c r="W4" s="3" t="s">
        <v>92</v>
      </c>
      <c r="X4" s="3"/>
      <c r="Y4" s="3"/>
      <c r="Z4" s="3"/>
      <c r="AA4" s="154">
        <v>3</v>
      </c>
      <c r="AB4" s="154"/>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4" t="s">
        <v>332</v>
      </c>
      <c r="J9" s="154"/>
      <c r="K9" s="47"/>
      <c r="L9" s="47"/>
      <c r="M9" s="47"/>
      <c r="N9" s="47"/>
      <c r="O9" s="47"/>
      <c r="P9" s="47"/>
      <c r="Q9" s="47" t="s">
        <v>193</v>
      </c>
      <c r="R9" s="47"/>
      <c r="S9" s="47"/>
      <c r="T9" s="154" t="s">
        <v>341</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6" x14ac:dyDescent="0.3">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167" t="s">
        <v>15</v>
      </c>
      <c r="T17" s="167"/>
      <c r="U17" s="167"/>
      <c r="V17" s="167"/>
      <c r="W17" s="167"/>
      <c r="X17" s="167"/>
      <c r="Y17" s="167"/>
      <c r="Z17" s="167"/>
      <c r="AA17" s="167"/>
      <c r="AB17" s="167"/>
      <c r="AC17" s="3"/>
      <c r="AD17" s="2"/>
    </row>
    <row r="18" spans="3:30" ht="15.6" x14ac:dyDescent="0.3">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7" t="s">
        <v>15</v>
      </c>
      <c r="T20" s="167"/>
      <c r="U20" s="167"/>
      <c r="V20" s="167"/>
      <c r="W20" s="167"/>
      <c r="X20" s="167"/>
      <c r="Y20" s="167"/>
      <c r="Z20" s="167"/>
      <c r="AA20" s="167"/>
      <c r="AB20" s="167"/>
      <c r="AC20" s="3"/>
      <c r="AD20" s="2"/>
    </row>
    <row r="21" spans="3:30" ht="15.6" x14ac:dyDescent="0.3">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6" x14ac:dyDescent="0.3">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7" t="s">
        <v>15</v>
      </c>
      <c r="T26" s="167"/>
      <c r="U26" s="167"/>
      <c r="V26" s="167"/>
      <c r="W26" s="167"/>
      <c r="X26" s="167"/>
      <c r="Y26" s="167"/>
      <c r="Z26" s="167"/>
      <c r="AA26" s="167"/>
      <c r="AB26" s="167"/>
      <c r="AC26" s="3"/>
      <c r="AD26" s="2"/>
    </row>
    <row r="27" spans="3:30" ht="15.6" x14ac:dyDescent="0.3">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7" t="s">
        <v>15</v>
      </c>
      <c r="T31" s="167"/>
      <c r="U31" s="167"/>
      <c r="V31" s="167"/>
      <c r="W31" s="167"/>
      <c r="X31" s="167"/>
      <c r="Y31" s="167"/>
      <c r="Z31" s="167"/>
      <c r="AA31" s="167"/>
      <c r="AB31" s="167"/>
      <c r="AC31" s="3"/>
      <c r="AD31" s="2"/>
    </row>
    <row r="32" spans="3:30" ht="15.6" x14ac:dyDescent="0.3">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6" x14ac:dyDescent="0.3">
      <c r="AB42" s="16"/>
      <c r="AC42" s="16"/>
      <c r="AD42" s="2"/>
    </row>
    <row r="43" spans="3:43"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4" t="s">
        <v>343</v>
      </c>
      <c r="H45" s="155"/>
      <c r="I45" s="155"/>
      <c r="J45" s="155"/>
      <c r="K45" s="155"/>
      <c r="L45" s="155"/>
      <c r="R45" s="15" t="s">
        <v>31</v>
      </c>
      <c r="S45" s="15"/>
      <c r="T45" s="15"/>
      <c r="U45" s="172">
        <v>43257</v>
      </c>
      <c r="V45" s="172"/>
      <c r="AC45" s="9"/>
    </row>
    <row r="46" spans="3:43" x14ac:dyDescent="0.25">
      <c r="C46" s="8"/>
      <c r="AC46" s="9"/>
    </row>
    <row r="47" spans="3:43" ht="13.8" thickBot="1" x14ac:dyDescent="0.3">
      <c r="C47" s="8"/>
      <c r="D47" s="3" t="s">
        <v>32</v>
      </c>
      <c r="E47" s="6"/>
      <c r="F47" s="21"/>
      <c r="G47" s="21"/>
      <c r="H47" s="154" t="s">
        <v>333</v>
      </c>
      <c r="I47" s="155"/>
      <c r="J47" s="155"/>
      <c r="K47" s="155"/>
      <c r="L47" s="155"/>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6" x14ac:dyDescent="0.3">
      <c r="C9" s="195"/>
      <c r="D9" s="84"/>
      <c r="E9" s="84"/>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6" x14ac:dyDescent="0.3">
      <c r="C12" s="195"/>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6" x14ac:dyDescent="0.3">
      <c r="C15" s="195"/>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6" x14ac:dyDescent="0.3">
      <c r="C18" s="195"/>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6" x14ac:dyDescent="0.3">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t="s">
        <v>333</v>
      </c>
      <c r="H28" s="155"/>
      <c r="I28" s="155"/>
      <c r="J28" s="155"/>
      <c r="K28" s="155"/>
      <c r="L28" s="155"/>
      <c r="P28" s="15" t="s">
        <v>31</v>
      </c>
      <c r="Q28" s="15"/>
      <c r="R28" s="15"/>
      <c r="S28" s="172"/>
      <c r="T28" s="172"/>
      <c r="AA28" s="9"/>
    </row>
    <row r="29" spans="3:28" x14ac:dyDescent="0.25">
      <c r="C29" s="8"/>
      <c r="AA29" s="9"/>
    </row>
    <row r="30" spans="3:28" ht="13.8" thickBot="1" x14ac:dyDescent="0.3">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0" t="s">
        <v>175</v>
      </c>
      <c r="E33" s="184"/>
      <c r="F33" s="184"/>
      <c r="G33" s="184"/>
      <c r="H33" s="155"/>
      <c r="I33" s="155"/>
      <c r="J33" s="155"/>
      <c r="K33" s="155"/>
      <c r="L33" s="155"/>
      <c r="M33" s="21"/>
      <c r="N33" s="72"/>
      <c r="O33" s="72"/>
      <c r="P33" s="21" t="s">
        <v>89</v>
      </c>
      <c r="R33" s="72"/>
      <c r="S33" s="155"/>
      <c r="T33" s="155"/>
      <c r="U33" s="155"/>
      <c r="V33" s="155"/>
      <c r="W33" s="155"/>
      <c r="AA33" s="9"/>
    </row>
    <row r="34" spans="3:27"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0"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0" t="s">
        <v>324</v>
      </c>
      <c r="B24" s="184"/>
      <c r="C24" s="184"/>
      <c r="D24" s="184"/>
      <c r="E24" s="184"/>
      <c r="F24" s="184"/>
    </row>
    <row r="25" spans="1:6" ht="13.2" customHeight="1" x14ac:dyDescent="0.25">
      <c r="A25" s="190"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0"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0"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0"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2"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0" t="s">
        <v>284</v>
      </c>
      <c r="B61" s="190"/>
      <c r="C61" s="190"/>
      <c r="D61" s="190"/>
      <c r="E61" s="190"/>
    </row>
    <row r="62" spans="1:5" x14ac:dyDescent="0.25">
      <c r="A62" s="184"/>
      <c r="B62" s="184"/>
      <c r="C62" s="184"/>
      <c r="D62" s="184"/>
      <c r="E62" s="184"/>
    </row>
    <row r="63" spans="1:5" x14ac:dyDescent="0.25">
      <c r="A63" s="184"/>
      <c r="B63" s="184"/>
      <c r="C63" s="184"/>
      <c r="D63" s="184"/>
      <c r="E63" s="184"/>
    </row>
    <row r="64" spans="1:5" x14ac:dyDescent="0.25">
      <c r="A64" s="190"/>
      <c r="B64" s="190"/>
      <c r="C64" s="190"/>
      <c r="D64" s="190"/>
      <c r="E64" s="190"/>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0" t="s">
        <v>289</v>
      </c>
      <c r="B69" s="190"/>
      <c r="C69" s="190"/>
      <c r="D69" s="190"/>
      <c r="E69" s="190"/>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197"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04"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4"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5" customHeight="1" x14ac:dyDescent="0.25">
      <c r="A110" s="201" t="s">
        <v>318</v>
      </c>
      <c r="B110" s="202"/>
      <c r="C110" s="202"/>
      <c r="D110" s="198" t="s">
        <v>298</v>
      </c>
      <c r="E110" s="198"/>
      <c r="F110" s="198"/>
      <c r="G110" s="198" t="s">
        <v>259</v>
      </c>
      <c r="H110" s="198"/>
      <c r="I110" s="198"/>
    </row>
    <row r="111" spans="1:16" ht="10.199999999999999" customHeight="1" x14ac:dyDescent="0.25">
      <c r="A111" s="201"/>
      <c r="B111" s="202"/>
      <c r="C111" s="202"/>
      <c r="D111" s="198"/>
      <c r="E111" s="198"/>
      <c r="F111" s="198"/>
      <c r="G111" s="198"/>
      <c r="H111" s="198"/>
      <c r="I111" s="198"/>
    </row>
    <row r="112" spans="1:16" ht="86.55" customHeight="1" x14ac:dyDescent="0.25">
      <c r="A112" s="201" t="s">
        <v>260</v>
      </c>
      <c r="B112" s="202"/>
      <c r="C112" s="202"/>
      <c r="D112" s="198" t="s">
        <v>317</v>
      </c>
      <c r="E112" s="198"/>
      <c r="F112" s="198"/>
      <c r="G112" s="198" t="s">
        <v>261</v>
      </c>
      <c r="H112" s="198"/>
      <c r="I112" s="198"/>
    </row>
    <row r="113" spans="1:9" ht="109.95" customHeight="1" x14ac:dyDescent="0.25">
      <c r="A113" s="201"/>
      <c r="B113" s="202"/>
      <c r="C113" s="202"/>
      <c r="D113" s="198"/>
      <c r="E113" s="198"/>
      <c r="F113" s="198"/>
      <c r="G113" s="198"/>
      <c r="H113" s="198"/>
      <c r="I113" s="198"/>
    </row>
    <row r="114" spans="1:9" ht="36.6" hidden="1" customHeight="1" x14ac:dyDescent="0.25">
      <c r="A114" s="201"/>
      <c r="B114" s="202"/>
      <c r="C114" s="202"/>
      <c r="D114" s="198"/>
      <c r="E114" s="198"/>
      <c r="F114" s="198"/>
      <c r="G114" s="198"/>
      <c r="H114" s="198"/>
      <c r="I114" s="198"/>
    </row>
    <row r="115" spans="1:9" ht="47.55" hidden="1" customHeight="1" x14ac:dyDescent="0.25">
      <c r="A115" s="201"/>
      <c r="B115" s="202"/>
      <c r="C115" s="202"/>
      <c r="D115" s="198"/>
      <c r="E115" s="198"/>
      <c r="F115" s="198"/>
      <c r="G115" s="198"/>
      <c r="H115" s="198"/>
      <c r="I115" s="198"/>
    </row>
    <row r="116" spans="1:9" ht="58.2" hidden="1" customHeight="1" x14ac:dyDescent="0.25">
      <c r="A116" s="201"/>
      <c r="B116" s="202"/>
      <c r="C116" s="202"/>
      <c r="D116" s="198"/>
      <c r="E116" s="198"/>
      <c r="F116" s="198"/>
      <c r="G116" s="198"/>
      <c r="H116" s="198"/>
      <c r="I116" s="198"/>
    </row>
    <row r="117" spans="1:9" ht="43.95" customHeight="1" x14ac:dyDescent="0.25">
      <c r="A117" s="198" t="s">
        <v>262</v>
      </c>
      <c r="B117" s="203"/>
      <c r="C117" s="203"/>
      <c r="D117" s="198" t="s">
        <v>263</v>
      </c>
      <c r="E117" s="198"/>
      <c r="F117" s="198"/>
      <c r="G117" s="198" t="s">
        <v>259</v>
      </c>
      <c r="H117" s="198"/>
      <c r="I117" s="198"/>
    </row>
    <row r="118" spans="1:9" ht="14.55" customHeight="1" x14ac:dyDescent="0.25">
      <c r="A118" s="198" t="s">
        <v>264</v>
      </c>
      <c r="B118" s="203"/>
      <c r="C118" s="203"/>
      <c r="D118" s="198" t="s">
        <v>223</v>
      </c>
      <c r="E118" s="198"/>
      <c r="F118" s="198"/>
      <c r="G118" s="198" t="s">
        <v>223</v>
      </c>
      <c r="H118" s="198"/>
      <c r="I118" s="198"/>
    </row>
    <row r="119" spans="1:9" ht="22.95" customHeight="1" x14ac:dyDescent="0.25">
      <c r="A119" s="198"/>
      <c r="B119" s="203"/>
      <c r="C119" s="203"/>
      <c r="D119" s="198"/>
      <c r="E119" s="198"/>
      <c r="F119" s="198"/>
      <c r="G119" s="198"/>
      <c r="H119" s="198"/>
      <c r="I119" s="198"/>
    </row>
    <row r="120" spans="1:9" ht="14.4"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1"/>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1"/>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85"/>
      <c r="AB1" s="85"/>
      <c r="AC1" s="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6" x14ac:dyDescent="0.3">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173"/>
      <c r="AC1" s="173"/>
      <c r="AD1" s="85"/>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0"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4"/>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4"/>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4"/>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4"/>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MDD</vt:lpstr>
      <vt:lpstr>Source Code</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2018-06-06T17:26:26Z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