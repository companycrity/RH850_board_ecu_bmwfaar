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ES002A_McuDiagc_Impl\doc\"/>
    </mc:Choice>
  </mc:AlternateContent>
  <bookViews>
    <workbookView xWindow="200" yWindow="30" windowWidth="15600" windowHeight="5710" firstSheet="1" activeTab="1" xr2:uid="{00000000-000D-0000-FFFF-FFFF00000000}"/>
  </bookViews>
  <sheets>
    <sheet name="Summary Sheet (Template)" sheetId="29" state="hidden" r:id="rId1"/>
    <sheet name="Summary Sheet" sheetId="868" r:id="rId2"/>
    <sheet name="StdDef" sheetId="874" state="hidden" r:id="rId3"/>
    <sheet name="Davinci Files" sheetId="873" r:id="rId4"/>
    <sheet name="Source Code" sheetId="872" r:id="rId5"/>
    <sheet name="PolySpace" sheetId="870" r:id="rId6"/>
    <sheet name="MDD" sheetId="871" r:id="rId7"/>
    <sheet name="Integration Manual" sheetId="869" state="hidden" r:id="rId8"/>
    <sheet name="Synergy Project" sheetId="87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75" l="1"/>
  <c r="S28" i="869"/>
  <c r="S40" i="870"/>
  <c r="S45" i="871"/>
  <c r="S125" i="872"/>
  <c r="H30" i="875"/>
  <c r="H30" i="869"/>
  <c r="H42" i="870"/>
  <c r="H47" i="871"/>
  <c r="H127" i="872"/>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500-000001000000}">
      <text>
        <r>
          <rPr>
            <b/>
            <sz val="9"/>
            <color indexed="81"/>
            <rFont val="Tahoma"/>
            <family val="2"/>
          </rPr>
          <t>Windows User:</t>
        </r>
        <r>
          <rPr>
            <sz val="9"/>
            <color indexed="81"/>
            <rFont val="Tahoma"/>
            <family val="2"/>
          </rPr>
          <t xml:space="preserve">
eg. 2013b</t>
        </r>
      </text>
    </comment>
    <comment ref="U9" authorId="0" shapeId="0" xr:uid="{00000000-0006-0000-05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5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500-000004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5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8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<sst xmlns="http://schemas.openxmlformats.org/spreadsheetml/2006/main" count="982" uniqueCount="222">
  <si>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</si>
  <si>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</si>
  <si>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</si>
  <si>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</si>
  <si>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</si>
  <si>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</si>
  <si>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</si>
  <si>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</si>
  <si>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</si>
  <si>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</si>
  <si>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</si>
  <si>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</si>
  <si>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</si>
  <si>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</si>
  <si>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</si>
  <si>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</si>
  <si>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</si>
  <si>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</si>
  <si>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</si>
  <si>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</si>
  <si>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</si>
  <si>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</si>
  <si>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</si>
  <si>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</si>
  <si>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</si>
  <si>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</si>
  <si>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</si>
  <si>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</si>
  <si>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</si>
  <si>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</si>
  <si>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</si>
  <si>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</si>
  <si>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</si>
  <si>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</si>
  <si>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</si>
  <si>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</si>
  <si>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</si>
  <si>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</si>
  <si>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</si>
  <si>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</si>
  <si>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</si>
  <si>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</si>
  <si>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</si>
  <si>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</si>
  <si>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</si>
  <si>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</si>
  <si>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</si>
  <si>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</si>
  <si>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</si>
  <si>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</si>
  <si>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</si>
  <si>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</si>
  <si>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</si>
  <si>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</si>
  <si>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</si>
  <si>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</si>
  <si>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</si>
  <si>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</si>
  <si>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</si>
  <si>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</si>
  <si>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</si>
  <si>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</si>
  <si>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</si>
  <si>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</si>
  <si>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</si>
  <si>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</si>
  <si>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</si>
  <si>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</si>
  <si>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</si>
  <si>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</si>
  <si>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</si>
  <si>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</si>
  <si>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</si>
  <si>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</si>
  <si>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</si>
  <si>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</si>
  <si>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</si>
  <si>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</si>
  <si>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</si>
  <si>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</si>
  <si>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</si>
  <si>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</si>
  <si>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</si>
  <si>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</si>
  <si>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</si>
  <si>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</si>
  <si>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</si>
  <si>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</si>
  <si>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</si>
  <si>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</si>
  <si>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</si>
  <si>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</si>
  <si>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</si>
  <si>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</si>
  <si>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</si>
  <si>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</si>
  <si>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</si>
  <si>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</si>
  <si>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</si>
  <si>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</si>
  <si>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</si>
  <si>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</si>
  <si>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</si>
  <si>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</si>
  <si>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</si>
  <si>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</si>
  <si>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</si>
  <si>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</si>
  <si>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</si>
  <si>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</si>
  <si>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</si>
  <si>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</si>
  <si>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</si>
  <si>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</si>
  <si>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</si>
  <si>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</si>
  <si>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</si>
  <si>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</si>
  <si>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</si>
  <si>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</si>
  <si>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</si>
  <si>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</si>
  <si>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</si>
  <si>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</si>
  <si>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</si>
  <si>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</si>
  <si>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</si>
  <si>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</si>
  <si>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</si>
  <si>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</si>
  <si>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</si>
  <si>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</si>
  <si>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</si>
  <si>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</si>
  <si>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</si>
  <si>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</si>
  <si>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</si>
  <si>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</si>
  <si>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</si>
  <si>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</si>
  <si>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</si>
  <si>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</si>
  <si>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</si>
  <si>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</si>
  <si>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</si>
  <si>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</si>
  <si>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</si>
  <si>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</si>
  <si>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</si>
  <si>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</si>
  <si>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</si>
  <si>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</si>
  <si>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</si>
  <si>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</si>
  <si>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</si>
  <si>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</si>
  <si>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</si>
  <si>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</si>
  <si>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</si>
  <si>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</si>
  <si>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</si>
  <si>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</si>
  <si>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</si>
  <si>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</si>
  <si>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</si>
  <si>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</si>
  <si>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</si>
  <si>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</si>
  <si>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</si>
  <si>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</si>
  <si>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</si>
  <si>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</si>
  <si>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</si>
  <si>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</si>
  <si>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</si>
  <si>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</si>
  <si>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</si>
  <si>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</si>
  <si>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</si>
  <si>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</si>
  <si>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</si>
  <si>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</si>
  <si>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</si>
  <si>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</si>
  <si>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</si>
  <si>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</si>
  <si>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</si>
  <si>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</si>
  <si>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</si>
  <si>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</si>
  <si>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</si>
  <si>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</si>
  <si>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</si>
  <si>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</si>
  <si>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</si>
  <si>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</si>
  <si>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</si>
  <si>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</si>
  <si>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</si>
  <si>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</si>
  <si>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</si>
  <si>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</si>
  <si>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</si>
  <si>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</si>
  <si>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</si>
  <si>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01.03.00</t>
  </si>
  <si>
    <t>2013b</t>
  </si>
  <si>
    <t>ES002A_McuDiagc_Impl</t>
  </si>
  <si>
    <t>ES002A_McuDiagc_Impl_3.0.0</t>
  </si>
  <si>
    <t>EA4#15829</t>
  </si>
  <si>
    <t>Complex Driver</t>
  </si>
  <si>
    <t>Intentional roll over allowed as per design</t>
  </si>
  <si>
    <t>CDD_McuDiagc.c</t>
  </si>
  <si>
    <t>CDD_McuDiagc.h</t>
  </si>
  <si>
    <t>McuDiagc_MDD.doc</t>
  </si>
  <si>
    <t>ES002A_McuDiagc_Design</t>
  </si>
  <si>
    <t>3.0.0</t>
  </si>
  <si>
    <t>Version: 2.1</t>
  </si>
  <si>
    <t>Shawn Penning</t>
  </si>
  <si>
    <t>Krishna Anne</t>
  </si>
  <si>
    <t>Mrudula Paturi</t>
  </si>
  <si>
    <t>Mala Kannan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</si>
</sst>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Fill="1" applyBorder="1" applyAlignment="1">
      <alignment horizontal="center"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I13" sqref="I13"/>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207</v>
      </c>
      <c r="H4" s="110"/>
      <c r="I4" s="110"/>
      <c r="J4" s="110"/>
      <c r="K4" s="110"/>
      <c r="L4" s="110"/>
      <c r="M4" s="110"/>
      <c r="N4" s="110"/>
      <c r="O4" s="110"/>
      <c r="P4" s="25"/>
      <c r="Q4" s="6" t="s">
        <v>123</v>
      </c>
      <c r="R4" s="25"/>
      <c r="S4" s="25"/>
      <c r="T4" s="25"/>
      <c r="U4" s="111" t="s">
        <v>208</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209</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6"/>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26"/>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26"/>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6"/>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26"/>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26"/>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6"/>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26"/>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26"/>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6"/>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26"/>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26"/>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200-000000000000}">
      <formula1>Level</formula1>
    </dataValidation>
    <dataValidation type="list" showInputMessage="1" showErrorMessage="1" sqref="U43 U31" xr:uid="{00000000-0002-0000-0200-000001000000}">
      <formula1>Approved</formula1>
    </dataValidation>
    <dataValidation type="list" showInputMessage="1" showErrorMessage="1" sqref="N9:O9 N12:O12 N15:O15 N18:O18" xr:uid="{00000000-0002-0000-02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C1:AB83"/>
  <sheetViews>
    <sheetView zoomScaleNormal="100" workbookViewId="0">
      <selection activeCell="T9" sqref="T9:Z9"/>
    </sheetView>
  </sheetViews>
  <sheetFormatPr defaultRowHeight="12.5" x14ac:dyDescent="0.25"/>
  <cols>
    <col min="1" max="1" width="9.1796875" customWidth="1"/>
    <col min="3" max="24" width="4.7265625" customWidth="1"/>
    <col min="25" max="25" width="9.36328125" customWidth="1"/>
    <col min="26"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5"/>
      <c r="D6" s="22" t="s">
        <v>157</v>
      </c>
      <c r="E6" s="22"/>
      <c r="F6" s="23"/>
      <c r="G6" s="22"/>
      <c r="H6" s="22"/>
      <c r="I6" s="24"/>
      <c r="J6" s="24"/>
      <c r="K6" s="24"/>
      <c r="L6" s="22"/>
      <c r="M6" s="22"/>
      <c r="N6" s="7"/>
      <c r="O6" s="46" t="s">
        <v>2</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2</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5" customHeight="1" x14ac:dyDescent="0.35">
      <c r="C11" s="135"/>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22"/>
      <c r="O13" s="46" t="s">
        <v>2</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c r="O16" s="46" t="s">
        <v>124</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c r="O22" s="46" t="s">
        <v>2</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c r="O25" s="46" t="s">
        <v>2</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c r="O28" s="46" t="s">
        <v>2</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5" x14ac:dyDescent="0.35">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5" x14ac:dyDescent="0.35">
      <c r="C62" s="135"/>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5" x14ac:dyDescent="0.35">
      <c r="C63" s="135"/>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5" x14ac:dyDescent="0.35">
      <c r="C65" s="135"/>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25">
        <v>43042</v>
      </c>
      <c r="R76" s="125"/>
      <c r="T76" s="84" t="s">
        <v>102</v>
      </c>
      <c r="X76" s="125" t="s">
        <v>210</v>
      </c>
      <c r="Y76" s="125"/>
      <c r="AA76" s="13"/>
    </row>
    <row r="77" spans="3:28" x14ac:dyDescent="0.25">
      <c r="C77" s="12"/>
      <c r="AA77" s="13"/>
    </row>
    <row r="78" spans="3:28" ht="13" thickBot="1" x14ac:dyDescent="0.3">
      <c r="C78" s="12"/>
      <c r="D78" s="6" t="s">
        <v>41</v>
      </c>
      <c r="E78" s="9"/>
      <c r="F78" s="25"/>
      <c r="G78" s="25"/>
      <c r="H78" s="111" t="s">
        <v>218</v>
      </c>
      <c r="I78" s="112"/>
      <c r="J78" s="112"/>
      <c r="K78" s="112"/>
      <c r="L78" s="112"/>
      <c r="N78" s="6" t="s">
        <v>47</v>
      </c>
      <c r="Q78" s="9"/>
      <c r="S78" s="96" t="s">
        <v>2</v>
      </c>
      <c r="X78" s="9"/>
      <c r="Y78" s="25"/>
      <c r="Z78" s="25"/>
      <c r="AA78" s="13"/>
    </row>
    <row r="79" spans="3:28" x14ac:dyDescent="0.25">
      <c r="C79" s="12"/>
      <c r="Y79" s="94"/>
      <c r="Z79" s="94"/>
      <c r="AA79" s="13"/>
    </row>
    <row r="80" spans="3:28" ht="13" thickBot="1" x14ac:dyDescent="0.3">
      <c r="C80" s="12"/>
      <c r="D80" s="84" t="s">
        <v>10</v>
      </c>
      <c r="E80" s="9"/>
      <c r="F80" s="9"/>
      <c r="G80" s="9"/>
      <c r="H80" s="111" t="s">
        <v>219</v>
      </c>
      <c r="I80" s="112"/>
      <c r="J80" s="112"/>
      <c r="K80" s="112"/>
      <c r="L80" s="112"/>
      <c r="M80" s="25"/>
      <c r="N80" s="111" t="s">
        <v>220</v>
      </c>
      <c r="O80" s="112"/>
      <c r="P80" s="112"/>
      <c r="Q80" s="112"/>
      <c r="R80" s="112"/>
      <c r="S80" s="25"/>
      <c r="T80" s="111" t="s">
        <v>221</v>
      </c>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1"/>
      <c r="I82" s="112"/>
      <c r="J82" s="112"/>
      <c r="K82" s="112"/>
      <c r="L82" s="112"/>
      <c r="M82" s="25"/>
      <c r="N82" s="111"/>
      <c r="O82" s="112"/>
      <c r="P82" s="112"/>
      <c r="Q82" s="112"/>
      <c r="R82" s="112"/>
      <c r="S82" s="25"/>
      <c r="T82" s="111"/>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T13:Z13"/>
    <mergeCell ref="Q14:Z14"/>
    <mergeCell ref="Q10:Z10"/>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300-000000000000}">
      <formula1>Checkmark</formula1>
    </dataValidation>
    <dataValidation type="list" showInputMessage="1" showErrorMessage="1" sqref="S78" xr:uid="{00000000-0002-0000-0300-000001000000}">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C1:AB132"/>
  <sheetViews>
    <sheetView topLeftCell="B1" zoomScaleNormal="100" workbookViewId="0">
      <selection activeCell="M11" sqref="M1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212</v>
      </c>
      <c r="H4" s="111"/>
      <c r="I4" s="111"/>
      <c r="J4" s="111"/>
      <c r="K4" s="111"/>
      <c r="L4" s="111"/>
      <c r="M4" s="111"/>
      <c r="N4" s="111"/>
      <c r="O4" s="111"/>
      <c r="P4" s="111"/>
      <c r="Q4" s="111"/>
      <c r="S4" s="6" t="s">
        <v>13</v>
      </c>
      <c r="T4" s="6"/>
      <c r="U4" s="6"/>
      <c r="W4" s="111">
        <v>8</v>
      </c>
      <c r="X4" s="111"/>
      <c r="Y4" s="111"/>
      <c r="Z4" s="111"/>
      <c r="AA4" s="111"/>
      <c r="AB4" s="3"/>
    </row>
    <row r="5" spans="3:28" ht="16" thickBot="1" x14ac:dyDescent="0.4">
      <c r="C5" s="19" t="s">
        <v>178</v>
      </c>
      <c r="D5" s="9"/>
      <c r="E5" s="19"/>
      <c r="F5" s="19"/>
      <c r="G5" s="138" t="s">
        <v>213</v>
      </c>
      <c r="H5" s="138"/>
      <c r="I5" s="138"/>
      <c r="J5" s="138"/>
      <c r="K5" s="138"/>
      <c r="L5" s="138"/>
      <c r="M5" s="138"/>
      <c r="N5" s="138"/>
      <c r="O5" s="138"/>
      <c r="P5" s="138"/>
      <c r="Q5" s="138"/>
      <c r="S5" s="6" t="s">
        <v>179</v>
      </c>
      <c r="T5" s="6"/>
      <c r="U5" s="6"/>
      <c r="W5" s="111">
        <v>1</v>
      </c>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214</v>
      </c>
      <c r="G7" s="111"/>
      <c r="H7" s="111"/>
      <c r="I7" s="111"/>
      <c r="J7" s="111"/>
      <c r="K7" s="111"/>
      <c r="L7" s="111"/>
      <c r="M7" s="111"/>
      <c r="N7" s="111"/>
      <c r="O7" s="111"/>
      <c r="P7" s="111"/>
      <c r="Q7" s="111"/>
      <c r="R7" s="111"/>
      <c r="S7" s="111"/>
      <c r="T7" s="111"/>
      <c r="U7" s="111"/>
      <c r="V7" s="111"/>
      <c r="W7" s="6"/>
      <c r="X7" s="6" t="s">
        <v>180</v>
      </c>
      <c r="Y7" s="6"/>
      <c r="Z7" s="111">
        <v>4</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215</v>
      </c>
      <c r="J9" s="111"/>
      <c r="K9" s="111"/>
      <c r="L9" s="111"/>
      <c r="M9" s="111"/>
      <c r="N9" s="111"/>
      <c r="O9" s="111"/>
      <c r="P9" s="111"/>
      <c r="Q9" s="111"/>
      <c r="R9" s="111"/>
      <c r="S9" s="111"/>
      <c r="T9" s="111"/>
      <c r="U9" s="111"/>
      <c r="V9" s="111"/>
      <c r="W9" s="6"/>
      <c r="X9" s="6" t="s">
        <v>180</v>
      </c>
      <c r="Y9" s="6"/>
      <c r="Z9" s="111" t="s">
        <v>216</v>
      </c>
      <c r="AA9" s="111"/>
      <c r="AB9" s="3"/>
    </row>
    <row r="10" spans="3:28" ht="17.25" customHeight="1" x14ac:dyDescent="0.3">
      <c r="C10" s="6"/>
      <c r="D10" s="6"/>
      <c r="E10" s="6"/>
      <c r="F10" s="6"/>
      <c r="G10" s="6"/>
      <c r="H10" s="86"/>
      <c r="I10" s="86"/>
      <c r="S10" s="84"/>
      <c r="AB10" s="1"/>
    </row>
    <row r="11" spans="3:28" ht="16" thickBot="1" x14ac:dyDescent="0.4">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5" x14ac:dyDescent="0.35">
      <c r="C16" s="137"/>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5" x14ac:dyDescent="0.3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5" x14ac:dyDescent="0.35">
      <c r="C19" s="137"/>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5" x14ac:dyDescent="0.3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7"/>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5" x14ac:dyDescent="0.3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7"/>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5" x14ac:dyDescent="0.3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7"/>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5" x14ac:dyDescent="0.3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7"/>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5" x14ac:dyDescent="0.3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5" x14ac:dyDescent="0.35">
      <c r="C34" s="137"/>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5">
      <c r="C35" s="137"/>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5" x14ac:dyDescent="0.35">
      <c r="C36" s="137"/>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5" x14ac:dyDescent="0.3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7"/>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5" x14ac:dyDescent="0.35">
      <c r="C39" s="137"/>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5" x14ac:dyDescent="0.3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7"/>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5" x14ac:dyDescent="0.35">
      <c r="C42" s="137"/>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5" x14ac:dyDescent="0.3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7"/>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5" x14ac:dyDescent="0.3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5" x14ac:dyDescent="0.35">
      <c r="C48" s="137"/>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5" x14ac:dyDescent="0.35">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5" x14ac:dyDescent="0.35">
      <c r="C50" s="137"/>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5" x14ac:dyDescent="0.35">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7"/>
      <c r="D52" t="s">
        <v>116</v>
      </c>
      <c r="Q52" s="128" t="s">
        <v>217</v>
      </c>
      <c r="R52" s="128"/>
      <c r="S52" s="128"/>
      <c r="T52" s="128"/>
      <c r="U52" s="128"/>
      <c r="V52" s="128"/>
      <c r="W52" s="128"/>
      <c r="X52" s="128"/>
      <c r="Y52" s="128"/>
      <c r="Z52" s="128"/>
      <c r="AA52" s="6"/>
      <c r="AB52" s="3"/>
    </row>
    <row r="53" spans="3:28" ht="15.5" x14ac:dyDescent="0.35">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5" x14ac:dyDescent="0.35">
      <c r="C55" s="137"/>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5" x14ac:dyDescent="0.35">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7"/>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5" x14ac:dyDescent="0.35">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7"/>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5" x14ac:dyDescent="0.35">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7"/>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5" x14ac:dyDescent="0.35">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5" x14ac:dyDescent="0.35">
      <c r="C71" s="137"/>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5" x14ac:dyDescent="0.35">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7"/>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5" x14ac:dyDescent="0.35">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7"/>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5" x14ac:dyDescent="0.35">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7"/>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5" x14ac:dyDescent="0.35">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7"/>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5" x14ac:dyDescent="0.35">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7"/>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5" x14ac:dyDescent="0.35">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5" x14ac:dyDescent="0.35">
      <c r="C89" s="137"/>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5" x14ac:dyDescent="0.35">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7"/>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5" x14ac:dyDescent="0.35">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7"/>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5" x14ac:dyDescent="0.35">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7"/>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5" x14ac:dyDescent="0.35">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7"/>
      <c r="D102" s="84"/>
      <c r="E102" s="84" t="s">
        <v>147</v>
      </c>
      <c r="G102" s="84"/>
      <c r="H102" s="84"/>
      <c r="I102" s="83"/>
      <c r="J102" s="83"/>
      <c r="K102" s="83"/>
      <c r="L102" s="84"/>
      <c r="M102" s="84"/>
      <c r="N102" s="84" t="s">
        <v>6</v>
      </c>
      <c r="O102" s="42" t="s">
        <v>124</v>
      </c>
      <c r="P102" s="84"/>
      <c r="Q102" s="6" t="s">
        <v>4</v>
      </c>
      <c r="R102" s="9"/>
      <c r="S102" s="6"/>
      <c r="T102" s="6" t="s">
        <v>211</v>
      </c>
      <c r="U102" s="85"/>
      <c r="V102" s="85"/>
      <c r="W102" s="85"/>
      <c r="X102" s="6"/>
      <c r="Y102" s="6"/>
      <c r="Z102" s="6"/>
      <c r="AA102" s="6"/>
      <c r="AB102" s="3"/>
    </row>
    <row r="103" spans="3:28" ht="15.5" x14ac:dyDescent="0.35">
      <c r="C103" s="137"/>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5" x14ac:dyDescent="0.35">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7"/>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5" x14ac:dyDescent="0.35">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7"/>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5" x14ac:dyDescent="0.35">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7"/>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5" x14ac:dyDescent="0.35">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25">
        <f>'Davinci Files'!Q76</f>
        <v>43042</v>
      </c>
      <c r="T125" s="125"/>
      <c r="AA125" s="13"/>
    </row>
    <row r="126" spans="3:28" x14ac:dyDescent="0.25">
      <c r="C126" s="12"/>
      <c r="AA126" s="13"/>
    </row>
    <row r="127" spans="3:28" ht="13" thickBot="1" x14ac:dyDescent="0.3">
      <c r="C127" s="12"/>
      <c r="D127" s="6" t="s">
        <v>41</v>
      </c>
      <c r="E127" s="9"/>
      <c r="F127" s="25"/>
      <c r="G127" s="25"/>
      <c r="H127" s="111" t="str">
        <f>IF('Davinci Files'!H78:L78="","",'Davinci Files'!H78:L78)</f>
        <v>Shawn Penning</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Krishna Anne</v>
      </c>
      <c r="I129" s="112"/>
      <c r="J129" s="112"/>
      <c r="K129" s="112"/>
      <c r="L129" s="112"/>
      <c r="M129" s="25"/>
      <c r="N129" s="111" t="str">
        <f>IF('Davinci Files'!N80:R80="","",'Davinci Files'!N80:R80)</f>
        <v>Mrudula Paturi</v>
      </c>
      <c r="O129" s="112"/>
      <c r="P129" s="112"/>
      <c r="Q129" s="112"/>
      <c r="R129" s="112"/>
      <c r="S129" s="25"/>
      <c r="T129" s="111" t="str">
        <f>IF('Davinci Files'!T80:X80="","",'Davinci Files'!T80:X80)</f>
        <v>Mala Kannan</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I9:V9"/>
    <mergeCell ref="G4:Q4"/>
    <mergeCell ref="G5:Q5"/>
    <mergeCell ref="X1:Y1"/>
    <mergeCell ref="Z1:AA1"/>
    <mergeCell ref="C2:AA2"/>
    <mergeCell ref="W4:AA4"/>
    <mergeCell ref="W5:AA5"/>
    <mergeCell ref="Z7:AA7"/>
    <mergeCell ref="F7:V7"/>
    <mergeCell ref="Z9:AA9"/>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400-000000000000}">
      <formula1>Checkmark</formula1>
    </dataValidation>
    <dataValidation type="list" showInputMessage="1" showErrorMessage="1" sqref="U127" xr:uid="{00000000-0002-0000-0400-000001000000}">
      <formula1>Approved</formula1>
    </dataValidation>
    <dataValidation type="list" allowBlank="1" showInputMessage="1" showErrorMessage="1" sqref="X125:Y125" xr:uid="{00000000-0002-0000-0400-000002000000}">
      <formula1>Level</formula1>
    </dataValidation>
  </dataValidations>
  <hyperlinks>
    <hyperlink ref="D13" r:id="rId1" display="Software Naming Convention followed" xr:uid="{00000000-0004-0000-0400-000000000000}"/>
    <hyperlink ref="D13:J13" r:id="rId2" display="Software Naming Convention followed:" xr:uid="{00000000-0004-0000-0400-000001000000}"/>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C1:AB47"/>
  <sheetViews>
    <sheetView zoomScaleNormal="100" workbookViewId="0">
      <selection activeCell="N10" sqref="N10"/>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212</v>
      </c>
      <c r="I4" s="111"/>
      <c r="J4" s="111"/>
      <c r="K4" s="111"/>
      <c r="L4" s="111"/>
      <c r="M4" s="111"/>
      <c r="N4" s="111"/>
      <c r="O4" s="111"/>
      <c r="P4" s="111"/>
      <c r="Q4" s="111"/>
      <c r="R4" s="111"/>
      <c r="S4" s="111"/>
      <c r="T4" s="111"/>
      <c r="U4" s="6" t="s">
        <v>13</v>
      </c>
      <c r="V4" s="6"/>
      <c r="W4" s="6"/>
      <c r="X4" s="6"/>
      <c r="Y4" s="111">
        <v>8</v>
      </c>
      <c r="Z4" s="111"/>
      <c r="AA4" s="6"/>
      <c r="AB4" s="3"/>
    </row>
    <row r="5" spans="3:28" ht="16" thickBot="1" x14ac:dyDescent="0.4">
      <c r="D5" s="19" t="s">
        <v>44</v>
      </c>
      <c r="G5" s="6"/>
      <c r="H5" s="138"/>
      <c r="I5" s="138"/>
      <c r="J5" s="138"/>
      <c r="K5" s="138"/>
      <c r="L5" s="138"/>
      <c r="M5" s="138"/>
      <c r="N5" s="138"/>
      <c r="O5" s="138"/>
      <c r="P5" s="138"/>
      <c r="Q5" s="138"/>
      <c r="R5" s="138"/>
      <c r="S5" s="138"/>
      <c r="T5" s="138"/>
      <c r="U5" s="6" t="s">
        <v>13</v>
      </c>
      <c r="V5" s="6"/>
      <c r="W5" s="6"/>
      <c r="X5" s="6"/>
      <c r="Y5" s="111"/>
      <c r="Z5" s="111"/>
      <c r="AA5" s="6"/>
      <c r="AB5" s="3"/>
    </row>
    <row r="6" spans="3:28" ht="16" thickBot="1" x14ac:dyDescent="0.4">
      <c r="D6" s="19" t="s">
        <v>44</v>
      </c>
      <c r="G6" s="6"/>
      <c r="H6" s="138"/>
      <c r="I6" s="138"/>
      <c r="J6" s="138"/>
      <c r="K6" s="138"/>
      <c r="L6" s="138"/>
      <c r="M6" s="138"/>
      <c r="N6" s="138"/>
      <c r="O6" s="138"/>
      <c r="P6" s="138"/>
      <c r="Q6" s="138"/>
      <c r="R6" s="138"/>
      <c r="S6" s="138"/>
      <c r="T6" s="138"/>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7"/>
      <c r="U14" s="127"/>
      <c r="V14" s="127"/>
      <c r="W14" s="127"/>
      <c r="X14" s="127"/>
      <c r="Y14" s="127"/>
      <c r="Z14" s="127"/>
      <c r="AA14" s="6"/>
      <c r="AB14" s="3"/>
    </row>
    <row r="15" spans="3:28" ht="15.5" x14ac:dyDescent="0.35">
      <c r="C15" s="101"/>
      <c r="D15" s="84" t="s">
        <v>112</v>
      </c>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7"/>
      <c r="U17" s="127"/>
      <c r="V17" s="127"/>
      <c r="W17" s="127"/>
      <c r="X17" s="127"/>
      <c r="Y17" s="127"/>
      <c r="Z17" s="127"/>
      <c r="AA17" s="6"/>
      <c r="AB17" s="3"/>
    </row>
    <row r="18" spans="3:28" ht="15.5" x14ac:dyDescent="0.35">
      <c r="C18" s="101"/>
      <c r="D18" s="84"/>
      <c r="E18" s="84" t="s">
        <v>193</v>
      </c>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01"/>
      <c r="D19" s="84"/>
      <c r="E19" s="22"/>
      <c r="F19" s="23"/>
      <c r="G19" s="22"/>
      <c r="H19" s="22"/>
      <c r="I19" s="24"/>
      <c r="J19" s="24"/>
      <c r="K19" s="24"/>
      <c r="L19" s="22"/>
      <c r="M19" s="22"/>
      <c r="N19" s="7"/>
      <c r="O19" s="6"/>
      <c r="P19" s="84"/>
      <c r="Q19" s="128"/>
      <c r="R19" s="128"/>
      <c r="S19" s="128"/>
      <c r="T19" s="128"/>
      <c r="U19" s="128"/>
      <c r="V19" s="128"/>
      <c r="W19" s="128"/>
      <c r="X19" s="128"/>
      <c r="Y19" s="128"/>
      <c r="Z19" s="128"/>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7"/>
      <c r="U20" s="127"/>
      <c r="V20" s="127"/>
      <c r="W20" s="127"/>
      <c r="X20" s="127"/>
      <c r="Y20" s="127"/>
      <c r="Z20" s="127"/>
      <c r="AA20" s="6"/>
      <c r="AB20" s="3"/>
    </row>
    <row r="21" spans="3:28" ht="15.5" x14ac:dyDescent="0.35">
      <c r="C21" s="101"/>
      <c r="D21" s="84"/>
      <c r="E21" s="84" t="s">
        <v>199</v>
      </c>
      <c r="G21" s="84"/>
      <c r="H21" s="84"/>
      <c r="I21" s="83"/>
      <c r="J21" s="83"/>
      <c r="K21" s="83"/>
      <c r="L21" s="84"/>
      <c r="M21" s="84"/>
      <c r="N21" s="7"/>
      <c r="O21" s="6"/>
      <c r="P21" s="84"/>
      <c r="Q21" s="128"/>
      <c r="R21" s="128"/>
      <c r="S21" s="128"/>
      <c r="T21" s="128"/>
      <c r="U21" s="128"/>
      <c r="V21" s="128"/>
      <c r="W21" s="128"/>
      <c r="X21" s="128"/>
      <c r="Y21" s="128"/>
      <c r="Z21" s="128"/>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7"/>
      <c r="U23" s="127"/>
      <c r="V23" s="127"/>
      <c r="W23" s="127"/>
      <c r="X23" s="127"/>
      <c r="Y23" s="127"/>
      <c r="Z23" s="127"/>
      <c r="AA23" s="6"/>
      <c r="AB23" s="3"/>
    </row>
    <row r="24" spans="3:28" ht="15.5" x14ac:dyDescent="0.35">
      <c r="C24" s="101"/>
      <c r="D24" s="84"/>
      <c r="E24" s="84" t="s">
        <v>196</v>
      </c>
      <c r="G24" s="84"/>
      <c r="H24" s="84"/>
      <c r="I24" s="83"/>
      <c r="J24" s="83"/>
      <c r="K24" s="83"/>
      <c r="L24" s="84"/>
      <c r="M24" s="84"/>
      <c r="N24" s="7"/>
      <c r="O24" s="6"/>
      <c r="P24" s="84"/>
      <c r="Q24" s="128"/>
      <c r="R24" s="128"/>
      <c r="S24" s="128"/>
      <c r="T24" s="128"/>
      <c r="U24" s="128"/>
      <c r="V24" s="128"/>
      <c r="W24" s="128"/>
      <c r="X24" s="128"/>
      <c r="Y24" s="128"/>
      <c r="Z24" s="128"/>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7"/>
      <c r="U26" s="127"/>
      <c r="V26" s="127"/>
      <c r="W26" s="127"/>
      <c r="X26" s="127"/>
      <c r="Y26" s="127"/>
      <c r="Z26" s="127"/>
      <c r="AA26" s="6"/>
      <c r="AB26" s="3"/>
    </row>
    <row r="27" spans="3:28" ht="15.5" x14ac:dyDescent="0.35">
      <c r="C27" s="101"/>
      <c r="D27" s="84"/>
      <c r="E27" s="84" t="s">
        <v>201</v>
      </c>
      <c r="G27" s="84"/>
      <c r="H27" s="84"/>
      <c r="I27" s="83"/>
      <c r="J27" s="83"/>
      <c r="K27" s="83"/>
      <c r="L27" s="84"/>
      <c r="M27" s="84"/>
      <c r="N27" s="7"/>
      <c r="O27" s="6"/>
      <c r="P27" s="84"/>
      <c r="Q27" s="128"/>
      <c r="R27" s="128"/>
      <c r="S27" s="128"/>
      <c r="T27" s="128"/>
      <c r="U27" s="128"/>
      <c r="V27" s="128"/>
      <c r="W27" s="128"/>
      <c r="X27" s="128"/>
      <c r="Y27" s="128"/>
      <c r="Z27" s="128"/>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84"/>
      <c r="AB33" s="3"/>
    </row>
    <row r="34" spans="3:28" ht="15.5" x14ac:dyDescent="0.3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20"/>
      <c r="AB34" s="3"/>
    </row>
    <row r="35" spans="3:28" ht="15.5" x14ac:dyDescent="0.3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5" x14ac:dyDescent="0.3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25">
        <f>'Davinci Files'!Q76</f>
        <v>43042</v>
      </c>
      <c r="T40" s="125"/>
      <c r="AA40" s="13"/>
    </row>
    <row r="41" spans="3:28" x14ac:dyDescent="0.25">
      <c r="C41" s="12"/>
      <c r="AA41" s="13"/>
    </row>
    <row r="42" spans="3:28" ht="13" thickBot="1" x14ac:dyDescent="0.3">
      <c r="C42" s="12"/>
      <c r="D42" s="6" t="s">
        <v>41</v>
      </c>
      <c r="E42" s="9"/>
      <c r="F42" s="25"/>
      <c r="G42" s="25"/>
      <c r="H42" s="111" t="str">
        <f>IF('Davinci Files'!H78:L78="","",'Davinci Files'!H78:L78)</f>
        <v>Shawn Penning</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Krishna Anne</v>
      </c>
      <c r="I44" s="112"/>
      <c r="J44" s="112"/>
      <c r="K44" s="112"/>
      <c r="L44" s="112"/>
      <c r="M44" s="25"/>
      <c r="N44" s="111" t="str">
        <f>IF('Davinci Files'!N80:R80="","",'Davinci Files'!N80:R80)</f>
        <v>Mrudula Paturi</v>
      </c>
      <c r="O44" s="112"/>
      <c r="P44" s="112"/>
      <c r="Q44" s="112"/>
      <c r="R44" s="112"/>
      <c r="S44" s="25"/>
      <c r="T44" s="111" t="str">
        <f>IF('Davinci Files'!T80:X80="","",'Davinci Files'!T80:X80)</f>
        <v>Mala Kannan</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Y6:Z6"/>
    <mergeCell ref="X1:Y1"/>
    <mergeCell ref="Z1:AA1"/>
    <mergeCell ref="C2:AA2"/>
    <mergeCell ref="Y4:Z4"/>
    <mergeCell ref="Y5:Z5"/>
    <mergeCell ref="H4:T4"/>
    <mergeCell ref="H5:T5"/>
    <mergeCell ref="H6:T6"/>
    <mergeCell ref="C38:AA38"/>
    <mergeCell ref="G40:L40"/>
    <mergeCell ref="S40:T40"/>
    <mergeCell ref="Q21:Z21"/>
    <mergeCell ref="H9:M9"/>
    <mergeCell ref="U9:Z9"/>
    <mergeCell ref="T14:Z14"/>
    <mergeCell ref="Q15:Z15"/>
    <mergeCell ref="D17:M17"/>
    <mergeCell ref="T17:Z17"/>
    <mergeCell ref="Q18:Z18"/>
    <mergeCell ref="Q19:Z19"/>
    <mergeCell ref="T20:Z20"/>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s>
  <dataValidations count="3">
    <dataValidation type="list" showInputMessage="1" showErrorMessage="1" sqref="N14:O14 N26:O26 N20:O20 N17:O17 N23:O23" xr:uid="{00000000-0002-0000-0500-000000000000}">
      <formula1>Checkmark</formula1>
    </dataValidation>
    <dataValidation type="list" allowBlank="1" showInputMessage="1" showErrorMessage="1" sqref="X40:Y40" xr:uid="{00000000-0002-0000-0500-000001000000}">
      <formula1>Level</formula1>
    </dataValidation>
    <dataValidation type="list" showInputMessage="1" showErrorMessage="1" sqref="U42" xr:uid="{00000000-0002-0000-0500-000002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127"/>
  <sheetViews>
    <sheetView zoomScaleNormal="100" workbookViewId="0">
      <selection activeCell="L11" sqref="L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t="s">
        <v>214</v>
      </c>
      <c r="H4" s="111"/>
      <c r="I4" s="111"/>
      <c r="J4" s="111"/>
      <c r="K4" s="111"/>
      <c r="L4" s="111"/>
      <c r="M4" s="111"/>
      <c r="N4" s="111"/>
      <c r="O4" s="111"/>
      <c r="P4" s="111"/>
      <c r="Q4" s="111"/>
      <c r="R4" s="111"/>
      <c r="S4" s="111"/>
      <c r="T4" s="111"/>
      <c r="U4" s="6"/>
      <c r="V4" s="6" t="s">
        <v>12</v>
      </c>
      <c r="W4" s="6"/>
      <c r="X4" s="6"/>
      <c r="Y4" s="111">
        <v>4</v>
      </c>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t="s">
        <v>212</v>
      </c>
      <c r="I6" s="111"/>
      <c r="J6" s="111"/>
      <c r="K6" s="111"/>
      <c r="L6" s="111"/>
      <c r="M6" s="111"/>
      <c r="N6" s="111"/>
      <c r="O6" s="111"/>
      <c r="P6" s="111"/>
      <c r="Q6" s="111"/>
      <c r="R6" s="111"/>
      <c r="S6" s="111"/>
      <c r="T6" s="111"/>
      <c r="U6" s="6" t="s">
        <v>13</v>
      </c>
      <c r="V6" s="6"/>
      <c r="W6" s="6"/>
      <c r="X6" s="6"/>
      <c r="Y6" s="111">
        <v>8</v>
      </c>
      <c r="Z6" s="111"/>
      <c r="AA6" s="6"/>
      <c r="AB6" s="3"/>
    </row>
    <row r="7" spans="3:28" ht="16" thickBot="1" x14ac:dyDescent="0.4">
      <c r="D7" s="19" t="s">
        <v>44</v>
      </c>
      <c r="G7" s="6"/>
      <c r="H7" s="138"/>
      <c r="I7" s="138"/>
      <c r="J7" s="138"/>
      <c r="K7" s="138"/>
      <c r="L7" s="138"/>
      <c r="M7" s="138"/>
      <c r="N7" s="138"/>
      <c r="O7" s="138"/>
      <c r="P7" s="138"/>
      <c r="Q7" s="138"/>
      <c r="R7" s="138"/>
      <c r="S7" s="138"/>
      <c r="T7" s="138"/>
      <c r="U7" s="6" t="s">
        <v>13</v>
      </c>
      <c r="V7" s="6"/>
      <c r="W7" s="6"/>
      <c r="X7" s="6"/>
      <c r="Y7" s="111"/>
      <c r="Z7" s="111"/>
      <c r="AA7" s="6"/>
      <c r="AB7" s="3"/>
    </row>
    <row r="8" spans="3:28" ht="16" thickBot="1" x14ac:dyDescent="0.4">
      <c r="D8" s="19" t="s">
        <v>44</v>
      </c>
      <c r="G8" s="6"/>
      <c r="H8" s="138"/>
      <c r="I8" s="138"/>
      <c r="J8" s="138"/>
      <c r="K8" s="138"/>
      <c r="L8" s="138"/>
      <c r="M8" s="138"/>
      <c r="N8" s="138"/>
      <c r="O8" s="138"/>
      <c r="P8" s="138"/>
      <c r="Q8" s="138"/>
      <c r="R8" s="138"/>
      <c r="S8" s="138"/>
      <c r="T8" s="138"/>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2</v>
      </c>
      <c r="P12" s="84"/>
      <c r="Q12" s="6" t="s">
        <v>4</v>
      </c>
      <c r="R12" s="9"/>
      <c r="S12" s="6"/>
      <c r="T12" s="127"/>
      <c r="U12" s="127"/>
      <c r="V12" s="127"/>
      <c r="W12" s="127"/>
      <c r="X12" s="127"/>
      <c r="Y12" s="127"/>
      <c r="Z12" s="127"/>
      <c r="AA12" s="6"/>
      <c r="AB12" s="3"/>
    </row>
    <row r="13" spans="3:28" ht="15.5" x14ac:dyDescent="0.35">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5" x14ac:dyDescent="0.3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2</v>
      </c>
      <c r="P18" s="84"/>
      <c r="Q18" s="6" t="s">
        <v>4</v>
      </c>
      <c r="R18" s="9"/>
      <c r="S18" s="6"/>
      <c r="T18" s="127"/>
      <c r="U18" s="127"/>
      <c r="V18" s="127"/>
      <c r="W18" s="127"/>
      <c r="X18" s="127"/>
      <c r="Y18" s="127"/>
      <c r="Z18" s="127"/>
      <c r="AA18" s="6"/>
      <c r="AB18" s="3"/>
    </row>
    <row r="19" spans="3:28" ht="15.5" x14ac:dyDescent="0.35">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25">
        <f>'Davinci Files'!Q76</f>
        <v>43042</v>
      </c>
      <c r="T45" s="125"/>
      <c r="AA45" s="13"/>
    </row>
    <row r="46" spans="3:28" x14ac:dyDescent="0.25">
      <c r="C46" s="12"/>
      <c r="AA46" s="13"/>
    </row>
    <row r="47" spans="3:28" ht="13" thickBot="1" x14ac:dyDescent="0.3">
      <c r="C47" s="12"/>
      <c r="D47" s="6" t="s">
        <v>41</v>
      </c>
      <c r="E47" s="9"/>
      <c r="F47" s="25"/>
      <c r="G47" s="25"/>
      <c r="H47" s="111" t="str">
        <f>IF('Davinci Files'!H78:L78="","",'Davinci Files'!H78:L78)</f>
        <v>Shawn Penning</v>
      </c>
      <c r="I47" s="112"/>
      <c r="J47" s="112"/>
      <c r="K47" s="112"/>
      <c r="L47" s="112"/>
      <c r="P47" s="6" t="s">
        <v>47</v>
      </c>
      <c r="Q47" s="9"/>
      <c r="U47" s="96" t="s">
        <v>2</v>
      </c>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Krishna Anne</v>
      </c>
      <c r="I49" s="112"/>
      <c r="J49" s="112"/>
      <c r="K49" s="112"/>
      <c r="L49" s="112"/>
      <c r="M49" s="25"/>
      <c r="N49" s="111" t="str">
        <f>IF('Davinci Files'!N80:R80="","",'Davinci Files'!N80:R80)</f>
        <v>Mrudula Paturi</v>
      </c>
      <c r="O49" s="112"/>
      <c r="P49" s="112"/>
      <c r="Q49" s="112"/>
      <c r="R49" s="112"/>
      <c r="S49" s="25"/>
      <c r="T49" s="111" t="str">
        <f>IF('Davinci Files'!T80:X80="","",'Davinci Files'!T80:X80)</f>
        <v>Mala Kannan</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L9" sqref="L9"/>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5" x14ac:dyDescent="0.35">
      <c r="C9" s="141"/>
      <c r="D9" s="84"/>
      <c r="E9" s="84"/>
      <c r="G9" s="84"/>
      <c r="H9" s="84"/>
      <c r="I9" s="83"/>
      <c r="J9" s="83"/>
      <c r="K9" s="83"/>
      <c r="L9" s="84"/>
      <c r="M9" s="84"/>
      <c r="N9" s="7"/>
      <c r="O9" s="84"/>
      <c r="P9" s="84"/>
      <c r="Q9" s="128"/>
      <c r="R9" s="128"/>
      <c r="S9" s="128"/>
      <c r="T9" s="128"/>
      <c r="U9" s="128"/>
      <c r="V9" s="128"/>
      <c r="W9" s="128"/>
      <c r="X9" s="128"/>
      <c r="Y9" s="128"/>
      <c r="Z9" s="128"/>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5" x14ac:dyDescent="0.35">
      <c r="C12" s="141"/>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5" x14ac:dyDescent="0.35">
      <c r="C15" s="141"/>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5" x14ac:dyDescent="0.35">
      <c r="C18" s="141"/>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25">
        <f>'Davinci Files'!Q76</f>
        <v>43042</v>
      </c>
      <c r="T28" s="125"/>
      <c r="AA28" s="13"/>
    </row>
    <row r="29" spans="3:28" x14ac:dyDescent="0.25">
      <c r="C29" s="12"/>
      <c r="AA29" s="13"/>
    </row>
    <row r="30" spans="3:28" ht="13" thickBot="1" x14ac:dyDescent="0.3">
      <c r="C30" s="12"/>
      <c r="D30" s="6" t="s">
        <v>41</v>
      </c>
      <c r="E30" s="9"/>
      <c r="F30" s="25"/>
      <c r="G30" s="25"/>
      <c r="H30" s="111" t="str">
        <f>IF('Davinci Files'!H78:L78="","",'Davinci Files'!H78:L78)</f>
        <v>Shawn Penning</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Krishna Anne</v>
      </c>
      <c r="I32" s="112"/>
      <c r="J32" s="112"/>
      <c r="K32" s="112"/>
      <c r="L32" s="112"/>
      <c r="M32" s="25"/>
      <c r="N32" s="111" t="str">
        <f>IF('Davinci Files'!N80:R80="","",'Davinci Files'!N80:R80)</f>
        <v>Mrudula Paturi</v>
      </c>
      <c r="O32" s="112"/>
      <c r="P32" s="112"/>
      <c r="Q32" s="112"/>
      <c r="R32" s="112"/>
      <c r="S32" s="25"/>
      <c r="T32" s="111" t="str">
        <f>IF('Davinci Files'!T80:X80="","",'Davinci Files'!T80:X80)</f>
        <v>Mala Kannan</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C3:AA35"/>
  <sheetViews>
    <sheetView zoomScaleNormal="100" workbookViewId="0">
      <selection activeCell="U30" sqref="U30"/>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42"/>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42"/>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42"/>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42"/>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25">
        <f>'Davinci Files'!Q76</f>
        <v>43042</v>
      </c>
      <c r="T28" s="125"/>
      <c r="AA28" s="13"/>
    </row>
    <row r="29" spans="3:27" x14ac:dyDescent="0.25">
      <c r="C29" s="12"/>
      <c r="AA29" s="13"/>
    </row>
    <row r="30" spans="3:27" ht="13" thickBot="1" x14ac:dyDescent="0.3">
      <c r="C30" s="12"/>
      <c r="D30" s="6" t="s">
        <v>41</v>
      </c>
      <c r="E30" s="9"/>
      <c r="F30" s="25"/>
      <c r="G30" s="25"/>
      <c r="H30" s="111" t="str">
        <f>IF('Davinci Files'!H78:L78="","",'Davinci Files'!H78:L78)</f>
        <v>Shawn Penning</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Krishna Anne</v>
      </c>
      <c r="I32" s="112"/>
      <c r="J32" s="112"/>
      <c r="K32" s="112"/>
      <c r="L32" s="112"/>
      <c r="M32" s="25"/>
      <c r="N32" s="111" t="str">
        <f>IF('Davinci Files'!N80:R80="","",'Davinci Files'!N80:R80)</f>
        <v>Mrudula Paturi</v>
      </c>
      <c r="O32" s="112"/>
      <c r="P32" s="112"/>
      <c r="Q32" s="112"/>
      <c r="R32" s="112"/>
      <c r="S32" s="25"/>
      <c r="T32" s="111" t="str">
        <f>IF('Davinci Files'!T80:X80="","",'Davinci Files'!T80:X80)</f>
        <v>Mala Kannan</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5" x14ac:dyDescent="0.3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5" x14ac:dyDescent="0.3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5" x14ac:dyDescent="0.3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5" x14ac:dyDescent="0.3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5" x14ac:dyDescent="0.3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5" x14ac:dyDescent="0.3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5">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5" x14ac:dyDescent="0.35">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5" x14ac:dyDescent="0.3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5" x14ac:dyDescent="0.35">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5" x14ac:dyDescent="0.3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5" x14ac:dyDescent="0.35">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5" x14ac:dyDescent="0.3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5" x14ac:dyDescent="0.3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5" x14ac:dyDescent="0.3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5" x14ac:dyDescent="0.3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7"/>
      <c r="D52" t="s">
        <v>116</v>
      </c>
      <c r="Q52" s="128" t="s">
        <v>117</v>
      </c>
      <c r="R52" s="128"/>
      <c r="S52" s="128"/>
      <c r="T52" s="128"/>
      <c r="U52" s="128"/>
      <c r="V52" s="128"/>
      <c r="W52" s="128"/>
      <c r="X52" s="128"/>
      <c r="Y52" s="128"/>
      <c r="Z52" s="128"/>
      <c r="AA52" s="6"/>
      <c r="AB52" s="3"/>
    </row>
    <row r="53" spans="3:28" ht="15.5" x14ac:dyDescent="0.3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5" x14ac:dyDescent="0.3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5" x14ac:dyDescent="0.3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5" x14ac:dyDescent="0.3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5" x14ac:dyDescent="0.3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5" x14ac:dyDescent="0.3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5" x14ac:dyDescent="0.3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5" x14ac:dyDescent="0.3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5" x14ac:dyDescent="0.3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5" x14ac:dyDescent="0.3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5" x14ac:dyDescent="0.3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5" x14ac:dyDescent="0.3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5" x14ac:dyDescent="0.3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5" x14ac:dyDescent="0.3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5" x14ac:dyDescent="0.3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5" x14ac:dyDescent="0.3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5" x14ac:dyDescent="0.3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5" x14ac:dyDescent="0.3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5" x14ac:dyDescent="0.3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5" x14ac:dyDescent="0.35">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5" x14ac:dyDescent="0.3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5" x14ac:dyDescent="0.35">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5" x14ac:dyDescent="0.3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5" x14ac:dyDescent="0.35">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5" x14ac:dyDescent="0.3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5" x14ac:dyDescent="0.35">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5" x14ac:dyDescent="0.3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5" x14ac:dyDescent="0.35">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5" x14ac:dyDescent="0.3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5"/>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5" x14ac:dyDescent="0.3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5"/>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5" x14ac:dyDescent="0.3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5" x14ac:dyDescent="0.3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5" x14ac:dyDescent="0.3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5" x14ac:dyDescent="0.3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5" x14ac:dyDescent="0.3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5" x14ac:dyDescent="0.3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5" x14ac:dyDescent="0.3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5" x14ac:dyDescent="0.3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5" x14ac:dyDescent="0.35">
      <c r="C16" s="101"/>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7"/>
      <c r="U18" s="127"/>
      <c r="V18" s="127"/>
      <c r="W18" s="127"/>
      <c r="X18" s="127"/>
      <c r="Y18" s="127"/>
      <c r="Z18" s="127"/>
      <c r="AA18" s="6"/>
      <c r="AB18" s="3"/>
    </row>
    <row r="19" spans="3:28" ht="15.5" x14ac:dyDescent="0.35">
      <c r="C19" s="101"/>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5" x14ac:dyDescent="0.35">
      <c r="C20" s="101"/>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5" x14ac:dyDescent="0.35">
      <c r="C22" s="101"/>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5" x14ac:dyDescent="0.35">
      <c r="C25" s="101"/>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5" x14ac:dyDescent="0.35">
      <c r="C28" s="101"/>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5" x14ac:dyDescent="0.3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5" x14ac:dyDescent="0.3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5" x14ac:dyDescent="0.3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25"/>
      <c r="T41" s="125"/>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5" x14ac:dyDescent="0.35">
      <c r="C9" s="141"/>
      <c r="D9" s="2"/>
      <c r="E9" s="2"/>
      <c r="G9" s="2"/>
      <c r="H9" s="2"/>
      <c r="I9" s="5"/>
      <c r="J9" s="5"/>
      <c r="K9" s="5"/>
      <c r="L9" s="2"/>
      <c r="M9" s="2"/>
      <c r="N9" s="7"/>
      <c r="O9" s="2"/>
      <c r="P9" s="2"/>
      <c r="Q9" s="128"/>
      <c r="R9" s="128"/>
      <c r="S9" s="128"/>
      <c r="T9" s="128"/>
      <c r="U9" s="128"/>
      <c r="V9" s="128"/>
      <c r="W9" s="128"/>
      <c r="X9" s="128"/>
      <c r="Y9" s="128"/>
      <c r="Z9" s="128"/>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5" x14ac:dyDescent="0.35">
      <c r="C12" s="141"/>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5" x14ac:dyDescent="0.35">
      <c r="C15" s="141"/>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5" x14ac:dyDescent="0.35">
      <c r="C18" s="141"/>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5" x14ac:dyDescent="0.3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5" x14ac:dyDescent="0.3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5" x14ac:dyDescent="0.3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6"/>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26"/>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26"/>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6"/>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26"/>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26"/>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6"/>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26"/>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26"/>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6"/>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26"/>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26"/>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2"/>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42"/>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2"/>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42"/>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2"/>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42"/>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2"/>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42"/>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25"/>
      <c r="T28" s="125"/>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2017-11-03T17:36:23Z</dcterms:modified>
</cp:coreProperties>
</file>